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ff2747180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 checks" sheetId="1" r:id="Rb86b7bf49d0e4c98"/>
    <x:sheet xmlns:r="http://schemas.openxmlformats.org/officeDocument/2006/relationships" name="Assumptions" sheetId="2" r:id="R2918d55421654327"/>
    <x:sheet xmlns:r="http://schemas.openxmlformats.org/officeDocument/2006/relationships" name="Policy" sheetId="3" r:id="Rd1bd5990806d4526"/>
    <x:sheet xmlns:r="http://schemas.openxmlformats.org/officeDocument/2006/relationships" name="Discrepancies" sheetId="4" r:id="Re85e542481df475b"/>
    <x:sheet xmlns:r="http://schemas.openxmlformats.org/officeDocument/2006/relationships" name="Resource costs" sheetId="5" r:id="R8f79de0086b4434e"/>
    <x:sheet xmlns:r="http://schemas.openxmlformats.org/officeDocument/2006/relationships" name="Source files" sheetId="6" r:id="Rf751b846187a45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#,##0"/>
    <x:numFmt numFmtId="203" formatCode="0.00%"/>
  </x:numFmts>
  <x:fonts count="5">
    <x:font>
      <x:sz val="11"/>
      <x:name val="Carlito"/>
    </x:font>
    <x:font>
      <x:b/>
      <x:sz val="15"/>
      <x:color rgb="FF10243A"/>
      <x:name val="Arial"/>
    </x:font>
    <x:font>
      <x:sz val="10"/>
      <x:color rgb="FF536479"/>
      <x:name val="Arial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43A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3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2" fontId="3" fillId="3" borderId="0" xfId="0" applyNumberFormat="1" applyFont="1" applyFill="1" applyBorder="1" applyAlignment="1">
      <x:alignment vertical="center" wrapText="1"/>
    </x:xf>
    <x:xf numFmtId="203" fontId="3" fillId="3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horizontal="center" vertical="center" wrapText="1"/>
    </x:xf>
    <x:xf numFmtId="202" fontId="3" fillId="3" borderId="0" xfId="0" applyNumberFormat="1" applyFont="1" applyFill="1" applyBorder="1" applyAlignment="1">
      <x:alignment horizontal="center" vertical="center" wrapText="1"/>
    </x:xf>
    <x:xf numFmtId="201" fontId="3" fillId="3" borderId="0" xfId="0" applyNumberFormat="1" applyFont="1" applyFill="1" applyBorder="1" applyAlignment="1">
      <x:alignment horizontal="center" vertical="center" wrapText="1"/>
    </x:xf>
    <x:xf numFmtId="203" fontId="3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horizontal="center" vertical="center" wrapText="1"/>
    </x:xf>
    <x:xf numFmtId="200" fontId="3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c3eee58564dc8" /><Relationship Type="http://schemas.openxmlformats.org/officeDocument/2006/relationships/theme" Target="/xl/theme/theme1.xml" Id="Ra042f6297b2a44a7" /><Relationship Type="http://schemas.openxmlformats.org/officeDocument/2006/relationships/sharedStrings" Target="/xl/sharedStrings.xml" Id="R4a56702d3ce24199" /><Relationship Type="http://schemas.openxmlformats.org/officeDocument/2006/relationships/worksheet" Target="/xl/worksheets/sheet1.xml" Id="Rb86b7bf49d0e4c98" /><Relationship Type="http://schemas.openxmlformats.org/officeDocument/2006/relationships/worksheet" Target="/xl/worksheets/sheet2.xml" Id="R2918d55421654327" /><Relationship Type="http://schemas.openxmlformats.org/officeDocument/2006/relationships/worksheet" Target="/xl/worksheets/sheet3.xml" Id="Rd1bd5990806d4526" /><Relationship Type="http://schemas.openxmlformats.org/officeDocument/2006/relationships/worksheet" Target="/xl/worksheets/sheet4.xml" Id="Re85e542481df475b" /><Relationship Type="http://schemas.openxmlformats.org/officeDocument/2006/relationships/worksheet" Target="/xl/worksheets/sheet5.xml" Id="R8f79de0086b4434e" /><Relationship Type="http://schemas.openxmlformats.org/officeDocument/2006/relationships/worksheet" Target="/xl/worksheets/sheet6.xml" Id="Rf751b846187a45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0243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23" hidden="0" customWidth="1"/>
    <x:col min="3" max="3" width="78" hidden="0" customWidth="1"/>
  </x:cols>
  <x:sheetData>
    <x:row r="2">
      <x:c r="A2" s="1" t="str">
        <x:v>CloudPilot dataset assumptions and checks</x:v>
      </x:c>
    </x:row>
    <x:row r="3">
      <x:c r="A3" s="2" t="str">
        <x:v>Repository snapshot inspected 25 October 2026. Paths are relative to project root.</x:v>
      </x:c>
    </x:row>
    <x:row r="5" ht="32" customHeight="1">
      <x:c r="A5" s="7" t="str">
        <x:v>Metric</x:v>
      </x:c>
      <x:c r="B5" s="7" t="str">
        <x:v>Value</x:v>
      </x:c>
      <x:c r="C5" s="7" t="str">
        <x:v>Meaning</x:v>
      </x:c>
    </x:row>
    <x:row r="6" ht="32" customHeight="1">
      <x:c r="A6" s="5" t="str">
        <x:v>Total resources</x:v>
      </x:c>
      <x:c r="B6" s="16" t="n">
        <x:f>COUNTA('Resource costs'!A6:A205)</x:f>
        <x:v>200</x:v>
      </x:c>
      <x:c r="C6" s="5" t="str">
        <x:v>Synthetic inventory, not customer estate</x:v>
      </x:c>
    </x:row>
    <x:row r="7" ht="32" customHeight="1">
      <x:c r="A7" s="8" t="str">
        <x:v>VM resources</x:v>
      </x:c>
      <x:c r="B7" s="17" t="n">
        <x:f>COUNTIF('Resource costs'!B6:B205,"vm")</x:f>
        <x:v>150</x:v>
      </x:c>
      <x:c r="C7" s="8" t="str">
        <x:v>Inventory count</x:v>
      </x:c>
    </x:row>
    <x:row r="8" ht="32" customHeight="1">
      <x:c r="A8" s="5" t="str">
        <x:v>Volumes</x:v>
      </x:c>
      <x:c r="B8" s="16" t="n">
        <x:f>COUNTIF('Resource costs'!B6:B205,"block_volume")</x:f>
        <x:v>20</x:v>
      </x:c>
      <x:c r="C8" s="5" t="str">
        <x:v>Inventory count</x:v>
      </x:c>
    </x:row>
    <x:row r="9" ht="32" customHeight="1">
      <x:c r="A9" s="8" t="str">
        <x:v>Public IPs</x:v>
      </x:c>
      <x:c r="B9" s="17" t="n">
        <x:f>COUNTIF('Resource costs'!B6:B205,"public_ip")</x:f>
        <x:v>20</x:v>
      </x:c>
      <x:c r="C9" s="8" t="str">
        <x:v>Inventory count</x:v>
      </x:c>
    </x:row>
    <x:row r="10" ht="32" customHeight="1">
      <x:c r="A10" s="5" t="str">
        <x:v>GPUs</x:v>
      </x:c>
      <x:c r="B10" s="16" t="n">
        <x:f>COUNTIF('Resource costs'!B6:B205,"gpu")</x:f>
        <x:v>10</x:v>
      </x:c>
      <x:c r="C10" s="5" t="str">
        <x:v>Inventory count</x:v>
      </x:c>
    </x:row>
    <x:row r="11" ht="32" customHeight="1">
      <x:c r="A11" s="8" t="str">
        <x:v>Known-price resources</x:v>
      </x:c>
      <x:c r="B11" s="17" t="n">
        <x:f>COUNT('Resource costs'!F6:F205)</x:f>
        <x:v>170</x:v>
      </x:c>
      <x:c r="C11" s="8" t="str">
        <x:v>Blank tariffs stay unknown</x:v>
      </x:c>
    </x:row>
    <x:row r="12" ht="32" customHeight="1">
      <x:c r="A12" s="5" t="str">
        <x:v>Unpriced resources</x:v>
      </x:c>
      <x:c r="B12" s="16" t="n">
        <x:f>B6-B11</x:f>
        <x:v>30</x:v>
      </x:c>
      <x:c r="C12" s="5" t="str">
        <x:v>Incomplete cost coverage</x:v>
      </x:c>
    </x:row>
    <x:row r="13" ht="32" customHeight="1">
      <x:c r="A13" s="8" t="str">
        <x:v>Known monthly equivalent (INR)</x:v>
      </x:c>
      <x:c r="B13" s="18" t="n">
        <x:f>SUM('Resource costs'!F6:F205)</x:f>
        <x:v>1028550</x:v>
      </x:c>
      <x:c r="C13" s="8" t="str">
        <x:v>Quarterly compute / 3 plus listed storage</x:v>
      </x:c>
    </x:row>
    <x:row r="14" ht="32" customHeight="1">
      <x:c r="A14" s="5" t="str">
        <x:v>VM telemetry rows</x:v>
      </x:c>
      <x:c r="B14" s="16" t="n">
        <x:v>432000</x:v>
      </x:c>
      <x:c r="C14" s="5" t="str">
        <x:v>CSV rows include missing observations</x:v>
      </x:c>
    </x:row>
    <x:row r="15" ht="32" customHeight="1">
      <x:c r="A15" s="8" t="str">
        <x:v>Missing VM observation rows</x:v>
      </x:c>
      <x:c r="B15" s="17" t="n">
        <x:v>2880</x:v>
      </x:c>
      <x:c r="C15" s="8" t="str">
        <x:v>Missing values remain null</x:v>
      </x:c>
    </x:row>
    <x:row r="16" ht="32" customHeight="1">
      <x:c r="A16" s="5" t="str">
        <x:v>Complete VM observation rows</x:v>
      </x:c>
      <x:c r="B16" s="16" t="n">
        <x:f>B14-B15</x:f>
        <x:v>429120</x:v>
      </x:c>
      <x:c r="C16" s="5" t="str">
        <x:v>Rows less explicit missing observations</x:v>
      </x:c>
    </x:row>
    <x:row r="17" ht="32" customHeight="1">
      <x:c r="A17" s="8" t="str">
        <x:v>Complete row share</x:v>
      </x:c>
      <x:c r="B17" s="19" t="n">
        <x:f>B16/B14</x:f>
        <x:v>0.9933333333333333</x:v>
      </x:c>
      <x:c r="C17" s="8" t="str">
        <x:v>Aggregate row share, not per-resource policy coverage</x:v>
      </x:c>
    </x:row>
    <x:row r="18" ht="32" customHeight="1">
      <x:c r="A18" s="5" t="str">
        <x:v>GPU telemetry rows</x:v>
      </x:c>
      <x:c r="B18" s="16" t="n">
        <x:v>28800</x:v>
      </x:c>
      <x:c r="C18" s="5" t="str">
        <x:v>Separate GPU file</x:v>
      </x:c>
    </x:row>
    <x:row r="19" ht="32" customHeight="1">
      <x:c r="A19" s="8" t="str">
        <x:v>Days</x:v>
      </x:c>
      <x:c r="B19" s="17" t="n">
        <x:v>30</x:v>
      </x:c>
      <x:c r="C19" s="8" t="str">
        <x:v>1 Aug through 30 Aug 2026</x:v>
      </x:c>
    </x:row>
    <x:row r="20" ht="32" customHeight="1">
      <x:c r="A20" s="5" t="str">
        <x:v>Interval (minutes)</x:v>
      </x:c>
      <x:c r="B20" s="16" t="n">
        <x:v>15</x:v>
      </x:c>
      <x:c r="C20" s="5" t="str">
        <x:v>Naive source timestamps interpreted as UTC</x:v>
      </x:c>
    </x:row>
    <x:row r="21" ht="32" customHeight="1">
      <x:c r="A21" s="8" t="str">
        <x:v>Expected rows per VM</x:v>
      </x:c>
      <x:c r="B21" s="17" t="n">
        <x:f>B19*24*60/B20</x:f>
        <x:v>2880</x:v>
      </x:c>
      <x:c r="C21" s="8" t="str">
        <x:v>Days × 24 × 60 / interval</x:v>
      </x:c>
    </x:row>
    <x:row r="22" ht="32" customHeight="1">
      <x:c r="A22" s="5" t="str">
        <x:v>Expected VM telemetry rows</x:v>
      </x:c>
      <x:c r="B22" s="16" t="n">
        <x:f>B7*B21</x:f>
        <x:v>432000</x:v>
      </x:c>
      <x:c r="C22" s="5" t="str">
        <x:v>VM count × expected points</x:v>
      </x:c>
    </x:row>
    <x:row r="23" ht="32" customHeight="1">
      <x:c r="A23" s="8" t="str">
        <x:v>VM row reconciliation</x:v>
      </x:c>
      <x:c r="B23" s="17" t="n">
        <x:f>B14-B22</x:f>
        <x:v>0</x:v>
      </x:c>
      <x:c r="C23" s="8" t="str">
        <x:v>Actual row count minus expected row count</x:v>
      </x:c>
    </x:row>
    <x:row r="24" ht="32" customHeight="1">
      <x:c r="A24" s="5" t="str">
        <x:v>Event rows</x:v>
      </x:c>
      <x:c r="B24" s="16" t="n">
        <x:v>77</x:v>
      </x:c>
      <x:c r="C24" s="5" t="str">
        <x:v>Includes 10 exact duplicate rows</x:v>
      </x:c>
    </x:row>
    <x:row r="25" ht="32" customHeight="1">
      <x:c r="A25" s="8" t="str">
        <x:v>Unique event rows</x:v>
      </x:c>
      <x:c r="B25" s="17" t="n">
        <x:v>67</x:v>
      </x:c>
      <x:c r="C25" s="8" t="str">
        <x:v>Count after exact duplicate removal</x:v>
      </x:c>
    </x:row>
    <x:row r="26" ht="32" customHeight="1">
      <x:c r="A26" s="5" t="str">
        <x:v>Billing history rows</x:v>
      </x:c>
      <x:c r="B26" s="16" t="n">
        <x:v>1020</x:v>
      </x:c>
      <x:c r="C26" s="5" t="str">
        <x:v>Six synthetic months, March–August 2026</x:v>
      </x:c>
    </x:row>
    <x:row r="27" ht="32" customHeight="1">
      <x:c r="A27" s="8" t="str">
        <x:v>Catalog configurations</x:v>
      </x:c>
      <x:c r="B27" s="17" t="n">
        <x:v>49</x:v>
      </x:c>
      <x:c r="C27" s="8" t="str">
        <x:v>Supplied comparison catalog</x:v>
      </x:c>
    </x:row>
    <x:row r="28" ht="32" customHeight="1">
      <x:c r="A28" s="5" t="str">
        <x:v>Review before production</x:v>
      </x:c>
      <x:c r="B28" s="20" t="str">
        <x:v>Required</x:v>
      </x:c>
      <x:c r="C28" s="5" t="str">
        <x:v>Prices, timezone, capabilities and real telemetry remain unverified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7F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53" hidden="0" customWidth="1"/>
    <x:col min="4" max="4" width="58" hidden="0" customWidth="1"/>
    <x:col min="5" max="5" width="58" hidden="0" customWidth="1"/>
    <x:col min="6" max="6" width="62" hidden="0" customWidth="1"/>
    <x:col min="7" max="7" width="53" hidden="0" customWidth="1"/>
  </x:cols>
  <x:sheetData>
    <x:row r="2">
      <x:c r="A2" s="1" t="str">
        <x:v>Dataset assumptions and justification</x:v>
      </x:c>
    </x:row>
    <x:row r="3">
      <x:c r="A3" s="2" t="str">
        <x:v>Repository snapshot inspected 25 October 2026. Paths are relative to project root.</x:v>
      </x:c>
    </x:row>
    <x:row r="5" ht="32" customHeight="1">
      <x:c r="A5" s="7" t="str">
        <x:v>ID</x:v>
      </x:c>
      <x:c r="B5" s="7" t="str">
        <x:v>Topic</x:v>
      </x:c>
      <x:c r="C5" s="7" t="str">
        <x:v>Assumption or fact</x:v>
      </x:c>
      <x:c r="D5" s="7" t="str">
        <x:v>Justification</x:v>
      </x:c>
      <x:c r="E5" s="7" t="str">
        <x:v>Limitation</x:v>
      </x:c>
      <x:c r="F5" s="7" t="str">
        <x:v>Validation or action</x:v>
      </x:c>
      <x:c r="G5" s="7" t="str">
        <x:v>Source</x:v>
      </x:c>
    </x:row>
    <x:row r="6" ht="56" customHeight="1">
      <x:c r="A6" s="5" t="str">
        <x:v>A01</x:v>
      </x:c>
      <x:c r="B6" s="5" t="str">
        <x:v>Provenance</x:v>
      </x:c>
      <x:c r="C6" s="5" t="str">
        <x:v>Synthetic estate and workload data</x:v>
      </x:c>
      <x:c r="D6" s="5" t="str">
        <x:v>Repeatable hackathon testing without customer infrastructure.</x:v>
      </x:c>
      <x:c r="E6" s="5" t="str">
        <x:v>Does not establish tenant behavior or real savings.</x:v>
      </x:c>
      <x:c r="F6" s="5" t="str">
        <x:v>Use real tenant telemetry before production claims.</x:v>
      </x:c>
      <x:c r="G6" s="5" t="str">
        <x:v>test-data/assumptions.json; README.md</x:v>
      </x:c>
    </x:row>
    <x:row r="7" ht="56" customHeight="1">
      <x:c r="A7" s="8" t="str">
        <x:v>A02</x:v>
      </x:c>
      <x:c r="B7" s="8" t="str">
        <x:v>Reproducibility</x:v>
      </x:c>
      <x:c r="C7" s="8" t="str">
        <x:v>Manifest random seed 456</x:v>
      </x:c>
      <x:c r="D7" s="8" t="str">
        <x:v>Supports repeatability of the supplied benchmark.</x:v>
      </x:c>
      <x:c r="E7" s="8" t="str">
        <x:v>Generator code is not supplied in the inspected repository.</x:v>
      </x:c>
      <x:c r="F7" s="8" t="str">
        <x:v>Preserve source hashes. Independently validate any regeneration.</x:v>
      </x:c>
      <x:c r="G7" s="8" t="str">
        <x:v>test-data/assumptions.json</x:v>
      </x:c>
    </x:row>
    <x:row r="8" ht="56" customHeight="1">
      <x:c r="A8" s="5" t="str">
        <x:v>A03</x:v>
      </x:c>
      <x:c r="B8" s="5" t="str">
        <x:v>Sample size</x:v>
      </x:c>
      <x:c r="C8" s="5" t="str">
        <x:v>200 resources: 150 VMs, 20 volumes, 20 IPs, 10 GPUs</x:v>
      </x:c>
      <x:c r="D8" s="5" t="str">
        <x:v>Covers compute, storage and unpriced infrastructure.</x:v>
      </x:c>
      <x:c r="E8" s="5" t="str">
        <x:v>Chosen fixtures are not a representative market sample.</x:v>
      </x:c>
      <x:c r="F8" s="5" t="str">
        <x:v>CSV inventory counts reconcile to manifest.</x:v>
      </x:c>
      <x:c r="G8" s="5" t="str">
        <x:v>test-data/resources.csv</x:v>
      </x:c>
    </x:row>
    <x:row r="9" ht="56" customHeight="1">
      <x:c r="A9" s="8" t="str">
        <x:v>A04</x:v>
      </x:c>
      <x:c r="B9" s="8" t="str">
        <x:v>Observation window</x:v>
      </x:c>
      <x:c r="C9" s="8" t="str">
        <x:v>1 Aug 2026 inclusive to 31 Aug exclusive</x:v>
      </x:c>
      <x:c r="D9" s="8" t="str">
        <x:v>30 days allow recurring daily and weekly workload patterns.</x:v>
      </x:c>
      <x:c r="E9" s="8" t="str">
        <x:v>One month does not cover annual seasonality.</x:v>
      </x:c>
      <x:c r="F9" s="8" t="str">
        <x:v>CSV min/max: Aug 1 00:00 to Aug 30 23:45.</x:v>
      </x:c>
      <x:c r="G9" s="8" t="str">
        <x:v>test-data/metrics.csv; assumptions.json</x:v>
      </x:c>
    </x:row>
    <x:row r="10" ht="56" customHeight="1">
      <x:c r="A10" s="5" t="str">
        <x:v>A05</x:v>
      </x:c>
      <x:c r="B10" s="5" t="str">
        <x:v>Sampling</x:v>
      </x:c>
      <x:c r="C10" s="5" t="str">
        <x:v>15-minute intervals, 2,880 rows per VM</x:v>
      </x:c>
      <x:c r="D10" s="5" t="str">
        <x:v>Balances detailed replay and manageable fixture size.</x:v>
      </x:c>
      <x:c r="E10" s="5" t="str">
        <x:v>Sub-interval spikes may be absent.</x:v>
      </x:c>
      <x:c r="F10" s="5" t="str">
        <x:v>Grid and unique resource/timestamp checks.</x:v>
      </x:c>
      <x:c r="G10" s="5" t="str">
        <x:v>test-data/metrics.csv; adapters/dataset.py</x:v>
      </x:c>
    </x:row>
    <x:row r="11" ht="56" customHeight="1">
      <x:c r="A11" s="8" t="str">
        <x:v>A06</x:v>
      </x:c>
      <x:c r="B11" s="8" t="str">
        <x:v>Timezone</x:v>
      </x:c>
      <x:c r="C11" s="8" t="str">
        <x:v>Naive timestamps interpreted as UTC</x:v>
      </x:c>
      <x:c r="D11" s="8" t="str">
        <x:v>Allows consistent timestamps within the prototype.</x:v>
      </x:c>
      <x:c r="E11" s="8" t="str">
        <x:v>Original source timezone remains unverified.</x:v>
      </x:c>
      <x:c r="F11" s="8" t="str">
        <x:v>Confirm timezone before live scheduling.</x:v>
      </x:c>
      <x:c r="G11" s="8" t="str">
        <x:v>backend/app/adapters/dataset.py</x:v>
      </x:c>
    </x:row>
    <x:row r="12" ht="56" customHeight="1">
      <x:c r="A12" s="5" t="str">
        <x:v>A07</x:v>
      </x:c>
      <x:c r="B12" s="5" t="str">
        <x:v>CPU semantics</x:v>
      </x:c>
      <x:c r="C12" s="5" t="str">
        <x:v>Percent of allocated vCPU capacity</x:v>
      </x:c>
      <x:c r="D12" s="5" t="str">
        <x:v>Converts utilization to approximate CPU demand.</x:v>
      </x:c>
      <x:c r="E12" s="5" t="str">
        <x:v>Linear same-family scaling ignores per-core differences.</x:v>
      </x:c>
      <x:c r="F12" s="5" t="str">
        <x:v>Benchmark target hardware and application SLOs.</x:v>
      </x:c>
      <x:c r="G12" s="5" t="str">
        <x:v>test-data/assumptions.json; docs/assumptions.md</x:v>
      </x:c>
    </x:row>
    <x:row r="13" ht="56" customHeight="1">
      <x:c r="A13" s="8" t="str">
        <x:v>A08</x:v>
      </x:c>
      <x:c r="B13" s="8" t="str">
        <x:v>Memory semantics</x:v>
      </x:c>
      <x:c r="C13" s="8" t="str">
        <x:v>Percent of allocated RAM. Demand is derived GiB.</x:v>
      </x:c>
      <x:c r="D13" s="8" t="str">
        <x:v>Enables memory-aware candidate checks.</x:v>
      </x:c>
      <x:c r="E13" s="8" t="str">
        <x:v>Synthetic semantics do not define real provider cache policy.</x:v>
      </x:c>
      <x:c r="F13" s="8" t="str">
        <x:v>Confirm metric semantics with provider.</x:v>
      </x:c>
      <x:c r="G13" s="8" t="str">
        <x:v>test-data/assumptions.json</x:v>
      </x:c>
    </x:row>
    <x:row r="14" ht="56" customHeight="1">
      <x:c r="A14" s="5" t="str">
        <x:v>A09</x:v>
      </x:c>
      <x:c r="B14" s="5" t="str">
        <x:v>Capacity history</x:v>
      </x:c>
      <x:c r="C14" s="5" t="str">
        <x:v>Current inventory capacity stays constant throughout window</x:v>
      </x:c>
      <x:c r="D14" s="5" t="str">
        <x:v>Historical configuration changes are unavailable.</x:v>
      </x:c>
      <x:c r="E14" s="5" t="str">
        <x:v>Resizes would invalidate direct demand conversion.</x:v>
      </x:c>
      <x:c r="F14" s="5" t="str">
        <x:v>Collect configuration history for real workloads.</x:v>
      </x:c>
      <x:c r="G14" s="5" t="str">
        <x:v>docs/assumptions.md</x:v>
      </x:c>
    </x:row>
    <x:row r="15" ht="56" customHeight="1">
      <x:c r="A15" s="8" t="str">
        <x:v>A10</x:v>
      </x:c>
      <x:c r="B15" s="8" t="str">
        <x:v>Missing data</x:v>
      </x:c>
      <x:c r="C15" s="8" t="str">
        <x:v>Null observations never become zero</x:v>
      </x:c>
      <x:c r="D15" s="8" t="str">
        <x:v>Prevents missing telemetry from appearing idle.</x:v>
      </x:c>
      <x:c r="E15" s="8" t="str">
        <x:v>2,880 missing VM rows, not 2,880 missing resources.</x:v>
      </x:c>
      <x:c r="F15" s="8" t="str">
        <x:v>Quality gates evaluate complete observations.</x:v>
      </x:c>
      <x:c r="G15" s="8" t="str">
        <x:v>test-data/metrics.csv; adapters/dataset.py</x:v>
      </x:c>
    </x:row>
    <x:row r="16" ht="56" customHeight="1">
      <x:c r="A16" s="5" t="str">
        <x:v>A11</x:v>
      </x:c>
      <x:c r="B16" s="5" t="str">
        <x:v>Other metrics</x:v>
      </x:c>
      <x:c r="C16" s="5" t="str">
        <x:v>Network Mbps, disk activity IOPS, disk capacity source GB</x:v>
      </x:c>
      <x:c r="D16" s="5" t="str">
        <x:v>Preserves dimensions and avoids false equivalence.</x:v>
      </x:c>
      <x:c r="E16" s="5" t="str">
        <x:v>IOPS does not measure latency or throughput.</x:v>
      </x:c>
      <x:c r="F16" s="5" t="str">
        <x:v>Obtain target IOPS/network limits.</x:v>
      </x:c>
      <x:c r="G16" s="5" t="str">
        <x:v>docs/assumptions.md</x:v>
      </x:c>
    </x:row>
    <x:row r="17" ht="56" customHeight="1">
      <x:c r="A17" s="8" t="str">
        <x:v>A12</x:v>
      </x:c>
      <x:c r="B17" s="8" t="str">
        <x:v>Pricing provenance</x:v>
      </x:c>
      <x:c r="C17" s="8" t="str">
        <x:v>User-provided public pricing snapshot dated 24 Oct 2026</x:v>
      </x:c>
      <x:c r="D17" s="8" t="str">
        <x:v>Provides a fixed comparison catalog.</x:v>
      </x:c>
      <x:c r="E17" s="8" t="str">
        <x:v>Original snapshot and current tariffs are not independently verified.</x:v>
      </x:c>
      <x:c r="F17" s="8" t="str">
        <x:v>Confirm prices and regional availability with provider.</x:v>
      </x:c>
      <x:c r="G17" s="8" t="str">
        <x:v>test-data/assumptions.json; pricing.csv</x:v>
      </x:c>
    </x:row>
    <x:row r="18" ht="56" customHeight="1">
      <x:c r="A18" s="5" t="str">
        <x:v>A13</x:v>
      </x:c>
      <x:c r="B18" s="5" t="str">
        <x:v>Currency and tax</x:v>
      </x:c>
      <x:c r="C18" s="5" t="str">
        <x:v>INR. GST excluded. Discounts and migration charges unknown.</x:v>
      </x:c>
      <x:c r="D18" s="5" t="str">
        <x:v>Keeps listed-price comparison internally consistent.</x:v>
      </x:c>
      <x:c r="E18" s="5" t="str">
        <x:v>Not an invoice or net business case.</x:v>
      </x:c>
      <x:c r="F18" s="5" t="str">
        <x:v>Reconcile with contracts and tax treatment.</x:v>
      </x:c>
      <x:c r="G18" s="5" t="str">
        <x:v>test-data/assumptions.json; docs/assumptions.md</x:v>
      </x:c>
    </x:row>
    <x:row r="19" ht="56" customHeight="1">
      <x:c r="A19" s="8" t="str">
        <x:v>A14</x:v>
      </x:c>
      <x:c r="B19" s="8" t="str">
        <x:v>Compute pricing</x:v>
      </x:c>
      <x:c r="C19" s="8" t="str">
        <x:v>Quarterly price / 3, ROUND_HALF_UP to two decimals</x:v>
      </x:c>
      <x:c r="D19" s="8" t="str">
        <x:v>Compares known quarterly commitments on a common monthly basis.</x:v>
      </x:c>
      <x:c r="E19" s="8" t="str">
        <x:v>Not a provider monthly tariff or realized cash saving.</x:v>
      </x:c>
      <x:c r="F19" s="8" t="str">
        <x:v>Cross-check source quarterly and derived amounts.</x:v>
      </x:c>
      <x:c r="G19" s="8" t="str">
        <x:v>backend/app/engine/costs.py; docs/assumptions.md</x:v>
      </x:c>
    </x:row>
    <x:row r="20" ht="56" customHeight="1">
      <x:c r="A20" s="5" t="str">
        <x:v>A15</x:v>
      </x:c>
      <x:c r="B20" s="5" t="str">
        <x:v>Stopping VMs</x:v>
      </x:c>
      <x:c r="C20" s="5" t="str">
        <x:v>INR 0 cash savings in commitment mode</x:v>
      </x:c>
      <x:c r="D20" s="5" t="str">
        <x:v>Source snapshot says powered-off VMs remain billable.</x:v>
      </x:c>
      <x:c r="E20" s="5" t="str">
        <x:v>Hourly prorating is explicitly hypothetical.</x:v>
      </x:c>
      <x:c r="F20" s="5" t="str">
        <x:v>Verify contract before using an hourly scenario.</x:v>
      </x:c>
      <x:c r="G20" s="5" t="str">
        <x:v>README.md; test-data/assumptions.json</x:v>
      </x:c>
    </x:row>
    <x:row r="21" ht="56" customHeight="1">
      <x:c r="A21" s="8" t="str">
        <x:v>A16</x:v>
      </x:c>
      <x:c r="B21" s="8" t="str">
        <x:v>Unknown prices</x:v>
      </x:c>
      <x:c r="C21" s="8" t="str">
        <x:v>20 public IPs and 10 GPUs remain unpriced</x:v>
      </x:c>
      <x:c r="D21" s="8" t="str">
        <x:v>Preserves uncertainty instead of treating unknown as free.</x:v>
      </x:c>
      <x:c r="E21" s="8" t="str">
        <x:v>Known-charge total is incomplete.</x:v>
      </x:c>
      <x:c r="F21" s="8" t="str">
        <x:v>Collect missing tariffs before full-estate savings claims.</x:v>
      </x:c>
      <x:c r="G21" s="8" t="str">
        <x:v>test-data/pricing.csv</x:v>
      </x:c>
    </x:row>
    <x:row r="22" ht="56" customHeight="1">
      <x:c r="A22" s="5" t="str">
        <x:v>A17</x:v>
      </x:c>
      <x:c r="B22" s="5" t="str">
        <x:v>Storage</x:v>
      </x:c>
      <x:c r="C22" s="5" t="str">
        <x:v>INR 4 per GB per month for block storage</x:v>
      </x:c>
      <x:c r="D22" s="5" t="str">
        <x:v>Uses the supplied storage rate.</x:v>
      </x:c>
      <x:c r="E22" s="5" t="str">
        <x:v>Resize retains separate storage. Snapshot interval unknown.</x:v>
      </x:c>
      <x:c r="F22" s="5" t="str">
        <x:v>Count separately inventoried volumes once.</x:v>
      </x:c>
      <x:c r="G22" s="5" t="str">
        <x:v>test-data/assumptions.json; docs/assumptions.md</x:v>
      </x:c>
    </x:row>
    <x:row r="23" ht="56" customHeight="1">
      <x:c r="A23" s="8" t="str">
        <x:v>A18</x:v>
      </x:c>
      <x:c r="B23" s="8" t="str">
        <x:v>AMD disks</x:v>
      </x:c>
      <x:c r="C23" s="8" t="str">
        <x:v>Blank disk capacity stays unknown</x:v>
      </x:c>
      <x:c r="D23" s="8" t="str">
        <x:v>Source does not establish AMD disk bundling.</x:v>
      </x:c>
      <x:c r="E23" s="8" t="str">
        <x:v>Cannot infer included disk or validate unsupported shrink.</x:v>
      </x:c>
      <x:c r="F23" s="8" t="str">
        <x:v>Confirm storage capacity and resize support.</x:v>
      </x:c>
      <x:c r="G23" s="8" t="str">
        <x:v>test-data/assumptions.json</x:v>
      </x:c>
    </x:row>
    <x:row r="24" ht="56" customHeight="1">
      <x:c r="A24" s="5" t="str">
        <x:v>A19</x:v>
      </x:c>
      <x:c r="B24" s="5" t="str">
        <x:v>Billing history</x:v>
      </x:c>
      <x:c r="C24" s="5" t="str">
        <x:v>March–August 2026 synthetic monthly records</x:v>
      </x:c>
      <x:c r="D24" s="5" t="str">
        <x:v>Tests history and cost-change views independently of telemetry.</x:v>
      </x:c>
      <x:c r="E24" s="5" t="str">
        <x:v>Scenario growth of 8 percentage points per month is designed.</x:v>
      </x:c>
      <x:c r="F24" s="5" t="str">
        <x:v>Do not present generated amounts as invoices.</x:v>
      </x:c>
      <x:c r="G24" s="5" t="str">
        <x:v>test-data/billing_history.csv; assumptions.json</x:v>
      </x:c>
    </x:row>
    <x:row r="25" ht="56" customHeight="1">
      <x:c r="A25" s="8" t="str">
        <x:v>A20</x:v>
      </x:c>
      <x:c r="B25" s="8" t="str">
        <x:v>Population design</x:v>
      </x:c>
      <x:c r="C25" s="8" t="str">
        <x:v>Manifest defines nine workload profiles</x:v>
      </x:c>
      <x:c r="D25" s="8" t="str">
        <x:v>Exercises low usage, burst, batch, memory and quality cases.</x:v>
      </x:c>
      <x:c r="E25" s="8" t="str">
        <x:v>Profile distribution is chosen, not estimated from customers.</x:v>
      </x:c>
      <x:c r="F25" s="8" t="str">
        <x:v>Engine must use metrics rather than profile names.</x:v>
      </x:c>
      <x:c r="G25" s="8" t="str">
        <x:v>test-data/assumptions.json; docs/assumptions.md</x:v>
      </x:c>
    </x:row>
    <x:row r="26" ht="56" customHeight="1">
      <x:c r="A26" s="5" t="str">
        <x:v>A21</x:v>
      </x:c>
      <x:c r="B26" s="5" t="str">
        <x:v>Events</x:v>
      </x:c>
      <x:c r="C26" s="5" t="str">
        <x:v>77 rows, including 10 exact duplicate GPU events</x:v>
      </x:c>
      <x:c r="D26" s="5" t="str">
        <x:v>Events supply explanatory context.</x:v>
      </x:c>
      <x:c r="E26" s="5" t="str">
        <x:v>Duplicates are not independent incidents.</x:v>
      </x:c>
      <x:c r="F26" s="5" t="str">
        <x:v>Deduplicate identical IDs/content. Reject conflicts.</x:v>
      </x:c>
      <x:c r="G26" s="5" t="str">
        <x:v>test-data/events.csv; adapters/dataset.py</x:v>
      </x:c>
    </x:row>
    <x:row r="27" ht="56" customHeight="1">
      <x:c r="A27" s="8" t="str">
        <x:v>A22</x:v>
      </x:c>
      <x:c r="B27" s="8" t="str">
        <x:v>Labels and oracle</x:v>
      </x:c>
      <x:c r="C27" s="8" t="str">
        <x:v>Referenced oracle and workload-label files are absent</x:v>
      </x:c>
      <x:c r="D27" s="8" t="str">
        <x:v>Prevents accidentally claiming label-based evaluation.</x:v>
      </x:c>
      <x:c r="E27" s="8" t="str">
        <x:v>Summary references 67 oracle and 200 label rows without files.</x:v>
      </x:c>
      <x:c r="F27" s="8" t="str">
        <x:v>Engine consumes neither labels nor oracle.</x:v>
      </x:c>
      <x:c r="G27" s="8" t="str">
        <x:v>test-data/data_quality_summary.json; docs/assumptions.md</x:v>
      </x:c>
    </x:row>
    <x:row r="28" ht="56" customHeight="1">
      <x:c r="A28" s="5" t="str">
        <x:v>A23</x:v>
      </x:c>
      <x:c r="B28" s="5" t="str">
        <x:v>Policy thresholds</x:v>
      </x:c>
      <x:c r="C28" s="5" t="str">
        <x:v>Version conservative-demo-v1</x:v>
      </x:c>
      <x:c r="D28" s="5" t="str">
        <x:v>Documents deliberate headroom and quality rules.</x:v>
      </x:c>
      <x:c r="E28" s="5" t="str">
        <x:v>Thresholds are heuristics, not calibrated risk probabilities.</x:v>
      </x:c>
      <x:c r="F28" s="5" t="str">
        <x:v>See Policy sheet and application workload tests.</x:v>
      </x:c>
      <x:c r="G28" s="5" t="str">
        <x:v>backend/app/engine/policy.py</x:v>
      </x:c>
    </x:row>
    <x:row r="29" ht="56" customHeight="1">
      <x:c r="A29" s="8" t="str">
        <x:v>A24</x:v>
      </x:c>
      <x:c r="B29" s="8" t="str">
        <x:v>Replay interpretation</x:v>
      </x:c>
      <x:c r="C29" s="8" t="str">
        <x:v>CPU/RAM threshold breaches count modeled violations</x:v>
      </x:c>
      <x:c r="D29" s="8" t="str">
        <x:v>Makes rejected candidates explainable.</x:v>
      </x:c>
      <x:c r="E29" s="8" t="str">
        <x:v>Breach counts do not measure actual outages.</x:v>
      </x:c>
      <x:c r="F29" s="8" t="str">
        <x:v>Union CPU/RAM violations to avoid double-counting.</x:v>
      </x:c>
      <x:c r="G29" s="8" t="str">
        <x:v>docs/assumptions.md</x:v>
      </x:c>
    </x:row>
    <x:row r="30" ht="56" customHeight="1">
      <x:c r="A30" s="5" t="str">
        <x:v>A25</x:v>
      </x:c>
      <x:c r="B30" s="5" t="str">
        <x:v>Execution eligibility</x:v>
      </x:c>
      <x:c r="C30" s="5" t="str">
        <x:v>Unknown provider capabilities and synthetic history block production action</x:v>
      </x:c>
      <x:c r="D30" s="5" t="str">
        <x:v>Avoids treating numerical feasibility as production validation.</x:v>
      </x:c>
      <x:c r="E30" s="5" t="str">
        <x:v>LocalStack only validates control-plane records.</x:v>
      </x:c>
      <x:c r="F30" s="5" t="str">
        <x:v>Obtain real telemetry, compatibility and performance evidence.</x:v>
      </x:c>
      <x:c r="G30" s="5" t="str">
        <x:v>README.md; docs/TRD.md</x:v>
      </x:c>
    </x:row>
    <x:row r="31" ht="56" customHeight="1">
      <x:c r="A31" s="8" t="str">
        <x:v>A26</x:v>
      </x:c>
      <x:c r="B31" s="8" t="str">
        <x:v>Forecast and carbon</x:v>
      </x:c>
      <x:c r="C31" s="8" t="str">
        <x:v>Historical extrapolation and editable energy/carbon assumptions</x:v>
      </x:c>
      <x:c r="D31" s="8" t="str">
        <x:v>Supports transparent scenario exploration.</x:v>
      </x:c>
      <x:c r="E31" s="8" t="str">
        <x:v>No calibrated ML forecast or verified energy/carbon saving.</x:v>
      </x:c>
      <x:c r="F31" s="8" t="str">
        <x:v>Validate models and measure power before impact claims.</x:v>
      </x:c>
      <x:c r="G31" s="8" t="str">
        <x:v>README.md; docs/TRD.md</x:v>
      </x:c>
    </x:row>
    <x:row r="32" ht="56" customHeight="1">
      <x:c r="A32" s="5" t="str">
        <x:v>A27</x:v>
      </x:c>
      <x:c r="B32" s="5" t="str">
        <x:v>Lifecycle</x:v>
      </x:c>
      <x:c r="C32" s="5" t="str">
        <x:v>Queueing findings is a planning decision</x:v>
      </x:c>
      <x:c r="D32" s="5" t="str">
        <x:v>Separates review from execution and financial effect.</x:v>
      </x:c>
      <x:c r="E32" s="5" t="str">
        <x:v>Accepted review-only items do not realize savings.</x:v>
      </x:c>
      <x:c r="F32" s="5" t="str">
        <x:v>Execution requires exact preview and explicit approval.</x:v>
      </x:c>
      <x:c r="G32" s="5" t="str">
        <x:v>README.md; docs/TRD.md</x:v>
      </x:c>
    </x:row>
    <x:row r="33" ht="56" customHeight="1">
      <x:c r="A33" s="8" t="str">
        <x:v>A28</x:v>
      </x:c>
      <x:c r="B33" s="8" t="str">
        <x:v>Verification evidence</x:v>
      </x:c>
      <x:c r="C33" s="8" t="str">
        <x:v>Recorded prototype checks dated 24 Oct 2026</x:v>
      </x:c>
      <x:c r="D33" s="8" t="str">
        <x:v>Supports a demo workflow claim using existing evidence.</x:v>
      </x:c>
      <x:c r="E33" s="8" t="str">
        <x:v>Not rerun for this deliverable. Test and live adapter evidence differ.</x:v>
      </x:c>
      <x:c r="F33" s="8" t="str">
        <x:v>Read docs/verification/README.md and associated JSON.</x:v>
      </x:c>
      <x:c r="G33" s="8" t="str">
        <x:v>docs/verification/README.md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84" hidden="0" customWidth="1"/>
  </x:cols>
  <x:sheetData>
    <x:row r="2">
      <x:c r="A2" s="1" t="str">
        <x:v>Versioned sizing policy</x:v>
      </x:c>
    </x:row>
    <x:row r="3">
      <x:c r="A3" s="2" t="str">
        <x:v>Source: backend/app/engine/policy.py, conservative-demo-v1. Values are documented policy choices.</x:v>
      </x:c>
    </x:row>
    <x:row r="5" ht="32" customHeight="1">
      <x:c r="A5" s="7" t="str">
        <x:v>Rule</x:v>
      </x:c>
      <x:c r="B5" s="7" t="str">
        <x:v>Value</x:v>
      </x:c>
      <x:c r="C5" s="7" t="str">
        <x:v>Unit</x:v>
      </x:c>
      <x:c r="D5" s="7" t="str">
        <x:v>Interpretation</x:v>
      </x:c>
    </x:row>
    <x:row r="6" ht="34" customHeight="1">
      <x:c r="A6" s="5" t="str">
        <x:v>CPU peak limit</x:v>
      </x:c>
      <x:c r="B6" s="21" t="n">
        <x:v>0.8</x:v>
      </x:c>
      <x:c r="C6" s="20" t="str">
        <x:v>percent</x:v>
      </x:c>
      <x:c r="D6" s="5" t="str">
        <x:v>Target CPU &lt;=80%. All peaks participate.</x:v>
      </x:c>
    </x:row>
    <x:row r="7" ht="34" customHeight="1">
      <x:c r="A7" s="8" t="str">
        <x:v>Memory peak limit</x:v>
      </x:c>
      <x:c r="B7" s="22" t="n">
        <x:v>0.8</x:v>
      </x:c>
      <x:c r="C7" s="23" t="str">
        <x:v>percent</x:v>
      </x:c>
      <x:c r="D7" s="8" t="str">
        <x:v>Target RAM &lt;=80%.</x:v>
      </x:c>
    </x:row>
    <x:row r="8" ht="34" customHeight="1">
      <x:c r="A8" s="5" t="str">
        <x:v>Disk occupancy limit</x:v>
      </x:c>
      <x:c r="B8" s="21" t="n">
        <x:v>0.8</x:v>
      </x:c>
      <x:c r="C8" s="20" t="str">
        <x:v>percent</x:v>
      </x:c>
      <x:c r="D8" s="5" t="str">
        <x:v>No disk shrinking.</x:v>
      </x:c>
    </x:row>
    <x:row r="9" ht="34" customHeight="1">
      <x:c r="A9" s="8" t="str">
        <x:v>Minimum complete coverage</x:v>
      </x:c>
      <x:c r="B9" s="22" t="n">
        <x:v>0.95</x:v>
      </x:c>
      <x:c r="C9" s="23" t="str">
        <x:v>percent</x:v>
      </x:c>
      <x:c r="D9" s="8" t="str">
        <x:v>Requires all core metric dimensions.</x:v>
      </x:c>
    </x:row>
    <x:row r="10" ht="34" customHeight="1">
      <x:c r="A10" s="5" t="str">
        <x:v>Minimum history</x:v>
      </x:c>
      <x:c r="B10" s="20" t="n">
        <x:v>7</x:v>
      </x:c>
      <x:c r="C10" s="20" t="str">
        <x:v>days</x:v>
      </x:c>
      <x:c r="D10" s="5" t="str">
        <x:v>At least seven days.</x:v>
      </x:c>
    </x:row>
    <x:row r="11" ht="34" customHeight="1">
      <x:c r="A11" s="8" t="str">
        <x:v>Maximum latest-sample age</x:v>
      </x:c>
      <x:c r="B11" s="23" t="n">
        <x:v>3600</x:v>
      </x:c>
      <x:c r="C11" s="23" t="str">
        <x:v>seconds</x:v>
      </x:c>
      <x:c r="D11" s="8" t="str">
        <x:v>Measured from historical cutoff, not today.</x:v>
      </x:c>
    </x:row>
    <x:row r="12" ht="34" customHeight="1">
      <x:c r="A12" s="5" t="str">
        <x:v>Stress multiplier</x:v>
      </x:c>
      <x:c r="B12" s="20" t="n">
        <x:v>1.2</x:v>
      </x:c>
      <x:c r="C12" s="20" t="str">
        <x:v>times</x:v>
      </x:c>
      <x:c r="D12" s="5" t="str">
        <x:v>CPU/RAM demand multiplied before same limits.</x:v>
      </x:c>
    </x:row>
    <x:row r="13" ht="34" customHeight="1">
      <x:c r="A13" s="8" t="str">
        <x:v>CPU saturation</x:v>
      </x:c>
      <x:c r="B13" s="22" t="n">
        <x:v>0.95</x:v>
      </x:c>
      <x:c r="C13" s="23" t="str">
        <x:v>percent</x:v>
      </x:c>
      <x:c r="D13" s="8" t="str">
        <x:v>Observed saturation blocks confident downsize.</x:v>
      </x:c>
    </x:row>
    <x:row r="14" ht="34" customHeight="1">
      <x:c r="A14" s="5" t="str">
        <x:v>Idle CPU peak</x:v>
      </x:c>
      <x:c r="B14" s="21" t="n">
        <x:v>0.05</x:v>
      </x:c>
      <x:c r="C14" s="20" t="str">
        <x:v>percent</x:v>
      </x:c>
      <x:c r="D14" s="5" t="str">
        <x:v>Entire-window maximum.</x:v>
      </x:c>
    </x:row>
    <x:row r="15" ht="34" customHeight="1">
      <x:c r="A15" s="8" t="str">
        <x:v>Idle RAM peak</x:v>
      </x:c>
      <x:c r="B15" s="22" t="n">
        <x:v>0.2</x:v>
      </x:c>
      <x:c r="C15" s="23" t="str">
        <x:v>percent</x:v>
      </x:c>
      <x:c r="D15" s="8" t="str">
        <x:v>Entire-window maximum.</x:v>
      </x:c>
    </x:row>
    <x:row r="16" ht="34" customHeight="1">
      <x:c r="A16" s="5" t="str">
        <x:v>Idle disk IOPS peak</x:v>
      </x:c>
      <x:c r="B16" s="20" t="n">
        <x:v>10</x:v>
      </x:c>
      <x:c r="C16" s="20" t="str">
        <x:v>IOPS</x:v>
      </x:c>
      <x:c r="D16" s="5" t="str">
        <x:v>Entire-window maximum.</x:v>
      </x:c>
    </x:row>
    <x:row r="17" ht="34" customHeight="1">
      <x:c r="A17" s="8" t="str">
        <x:v>Idle network peak</x:v>
      </x:c>
      <x:c r="B17" s="23" t="n">
        <x:v>1</x:v>
      </x:c>
      <x:c r="C17" s="23" t="str">
        <x:v>Mbps</x:v>
      </x:c>
      <x:c r="D17" s="8" t="str">
        <x:v>Combined conservative network peaks.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65" hidden="0" customWidth="1"/>
    <x:col min="4" max="4" width="65" hidden="0" customWidth="1"/>
    <x:col min="5" max="5" width="66" hidden="0" customWidth="1"/>
  </x:cols>
  <x:sheetData>
    <x:row r="2">
      <x:c r="A2" s="1" t="str">
        <x:v>Source discrepancies to resolve</x:v>
      </x:c>
    </x:row>
    <x:row r="3">
      <x:c r="A3" s="2" t="str">
        <x:v>Repository snapshot inspected 25 October 2026. Paths are relative to project root.</x:v>
      </x:c>
    </x:row>
    <x:row r="5" ht="32" customHeight="1">
      <x:c r="A5" s="7" t="str">
        <x:v>ID</x:v>
      </x:c>
      <x:c r="B5" s="7" t="str">
        <x:v>Subject</x:v>
      </x:c>
      <x:c r="C5" s="7" t="str">
        <x:v>Older or conflicting statement</x:v>
      </x:c>
      <x:c r="D5" s="7" t="str">
        <x:v>Delivered evidence</x:v>
      </x:c>
      <x:c r="E5" s="7" t="str">
        <x:v>Submission treatment</x:v>
      </x:c>
    </x:row>
    <x:row r="6" ht="56" customHeight="1">
      <x:c r="A6" s="5" t="str">
        <x:v>D01</x:v>
      </x:c>
      <x:c r="B6" s="5" t="str">
        <x:v>Telemetry dates</x:v>
      </x:c>
      <x:c r="C6" s="5" t="str">
        <x:v>docs/assumptions.md: 15 Sep–15 Oct</x:v>
      </x:c>
      <x:c r="D6" s="5" t="str">
        <x:v>CSV and manifest: 1 Aug–31 Aug exclusive</x:v>
      </x:c>
      <x:c r="E6" s="5" t="str">
        <x:v>Use delivered CSV and manifest for this submission.</x:v>
      </x:c>
    </x:row>
    <x:row r="7" ht="56" customHeight="1">
      <x:c r="A7" s="8" t="str">
        <x:v>D02</x:v>
      </x:c>
      <x:c r="B7" s="8" t="str">
        <x:v>Billing months</x:v>
      </x:c>
      <x:c r="C7" s="8" t="str">
        <x:v>docs/assumptions.md: Apr–Sep 2026</x:v>
      </x:c>
      <x:c r="D7" s="8" t="str">
        <x:v>billing_history.csv: Mar–Aug 2026</x:v>
      </x:c>
      <x:c r="E7" s="8" t="str">
        <x:v>Use the six delivered billing months.</x:v>
      </x:c>
    </x:row>
    <x:row r="8" ht="56" customHeight="1">
      <x:c r="A8" s="5" t="str">
        <x:v>D03</x:v>
      </x:c>
      <x:c r="B8" s="5" t="str">
        <x:v>Estate size</x:v>
      </x:c>
      <x:c r="C8" s="5" t="str">
        <x:v>docs/PRODUCT_DEFINITION.md: 120 VMs</x:v>
      </x:c>
      <x:c r="D8" s="5" t="str">
        <x:v>Current README and inventory: 150 VMs, 200 total</x:v>
      </x:c>
      <x:c r="E8" s="5" t="str">
        <x:v>Treat product definition as historical scope.</x:v>
      </x:c>
    </x:row>
    <x:row r="9" ht="56" customHeight="1">
      <x:c r="A9" s="8" t="str">
        <x:v>D04</x:v>
      </x:c>
      <x:c r="B9" s="8" t="str">
        <x:v>Oracle and labels</x:v>
      </x:c>
      <x:c r="C9" s="8" t="str">
        <x:v>Quality summary claims 67 oracle and 200 label rows</x:v>
      </x:c>
      <x:c r="D9" s="8" t="str">
        <x:v>Neither referenced CSV is delivered</x:v>
      </x:c>
      <x:c r="E9" s="8" t="str">
        <x:v>Do not claim ground-truth accuracy using absent files.</x:v>
      </x:c>
    </x:row>
    <x:row r="10" ht="56" customHeight="1">
      <x:c r="A10" s="5" t="str">
        <x:v>D05</x:v>
      </x:c>
      <x:c r="B10" s="5" t="str">
        <x:v>Implemented execution</x:v>
      </x:c>
      <x:c r="C10" s="5" t="str">
        <x:v>docs/assumptions.md describes no executor in first increment</x:v>
      </x:c>
      <x:c r="D10" s="5" t="str">
        <x:v>Current README/TRD describe LocalStack MCP and Terraform PRs</x:v>
      </x:c>
      <x:c r="E10" s="5" t="str">
        <x:v>Use current README/TRD for product capability.</x:v>
      </x:c>
    </x:row>
    <x:row r="11" ht="56" customHeight="1">
      <x:c r="A11" s="8" t="str">
        <x:v>D06</x:v>
      </x:c>
      <x:c r="B11" s="8" t="str">
        <x:v>Roles</x:v>
      </x:c>
      <x:c r="C11" s="8" t="str">
        <x:v>Older documents describe one engineer persona</x:v>
      </x:c>
      <x:c r="D11" s="8" t="str">
        <x:v>Current README/TRD describe server-enforced workspace roles</x:v>
      </x:c>
      <x:c r="E11" s="8" t="str">
        <x:v>Single-organization prototype. No tenant authentication.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1" hidden="0" customWidth="1"/>
    <x:col min="3" max="3" width="21" hidden="0" customWidth="1"/>
    <x:col min="4" max="4" width="20" hidden="0" customWidth="1"/>
    <x:col min="5" max="5" width="30" hidden="0" customWidth="1"/>
    <x:col min="6" max="6" width="28" hidden="0" customWidth="1"/>
    <x:col min="7" max="7" width="30" hidden="0" customWidth="1"/>
  </x:cols>
  <x:sheetData>
    <x:row r="2">
      <x:c r="A2" s="1" t="str">
        <x:v>Resource-level cost evidence</x:v>
      </x:c>
    </x:row>
    <x:row r="3">
      <x:c r="A3" s="2" t="str">
        <x:v>Sources: test-data/resources.csv joined to test-data/pricing.csv by resource_id. Blank prices are unknown.</x:v>
      </x:c>
    </x:row>
    <x:row r="5" ht="32" customHeight="1">
      <x:c r="A5" s="7" t="str">
        <x:v>Resource ID</x:v>
      </x:c>
      <x:c r="B5" s="7" t="str">
        <x:v>Type</x:v>
      </x:c>
      <x:c r="C5" s="7" t="str">
        <x:v>Environment</x:v>
      </x:c>
      <x:c r="D5" s="7" t="str">
        <x:v>Region</x:v>
      </x:c>
      <x:c r="E5" s="7" t="str">
        <x:v>Plan key</x:v>
      </x:c>
      <x:c r="F5" s="7" t="str">
        <x:v>Monthly equivalent (INR)</x:v>
      </x:c>
      <x:c r="G5" s="7" t="str">
        <x:v>Pricing status</x:v>
      </x:c>
    </x:row>
    <x:row r="6" ht="24" customHeight="1">
      <x:c r="A6" s="5" t="str">
        <x:v>vm-001</x:v>
      </x:c>
      <x:c r="B6" s="5" t="str">
        <x:v>vm</x:v>
      </x:c>
      <x:c r="C6" s="5" t="str">
        <x:v>production</x:v>
      </x:c>
      <x:c r="D6" s="5" t="str">
        <x:v>Noida</x:v>
      </x:c>
      <x:c r="E6" s="5" t="str">
        <x:v>amd-basic-4</x:v>
      </x:c>
      <x:c r="F6" s="11" t="n">
        <x:v>2826</x:v>
      </x:c>
      <x:c r="G6" s="5" t="str">
        <x:v>published_list_price</x:v>
      </x:c>
    </x:row>
    <x:row r="7" ht="24" customHeight="1">
      <x:c r="A7" s="8" t="str">
        <x:v>vm-002</x:v>
      </x:c>
      <x:c r="B7" s="8" t="str">
        <x:v>vm</x:v>
      </x:c>
      <x:c r="C7" s="8" t="str">
        <x:v>staging</x:v>
      </x:c>
      <x:c r="D7" s="8" t="str">
        <x:v>Mumbai</x:v>
      </x:c>
      <x:c r="E7" s="8" t="str">
        <x:v>amd-basic-3</x:v>
      </x:c>
      <x:c r="F7" s="12" t="n">
        <x:v>2034</x:v>
      </x:c>
      <x:c r="G7" s="8" t="str">
        <x:v>published_list_price</x:v>
      </x:c>
    </x:row>
    <x:row r="8" ht="24" customHeight="1">
      <x:c r="A8" s="5" t="str">
        <x:v>vm-003</x:v>
      </x:c>
      <x:c r="B8" s="5" t="str">
        <x:v>vm</x:v>
      </x:c>
      <x:c r="C8" s="5" t="str">
        <x:v>staging</x:v>
      </x:c>
      <x:c r="D8" s="5" t="str">
        <x:v>Noida</x:v>
      </x:c>
      <x:c r="E8" s="5" t="str">
        <x:v>intel-basic-5</x:v>
      </x:c>
      <x:c r="F8" s="11" t="n">
        <x:v>12475</x:v>
      </x:c>
      <x:c r="G8" s="5" t="str">
        <x:v>published_list_price</x:v>
      </x:c>
    </x:row>
    <x:row r="9" ht="24" customHeight="1">
      <x:c r="A9" s="8" t="str">
        <x:v>vm-004</x:v>
      </x:c>
      <x:c r="B9" s="8" t="str">
        <x:v>vm</x:v>
      </x:c>
      <x:c r="C9" s="8" t="str">
        <x:v>staging</x:v>
      </x:c>
      <x:c r="D9" s="8" t="str">
        <x:v>Mumbai</x:v>
      </x:c>
      <x:c r="E9" s="8" t="str">
        <x:v>amd-cpu-4</x:v>
      </x:c>
      <x:c r="F9" s="12" t="n">
        <x:v>3570</x:v>
      </x:c>
      <x:c r="G9" s="8" t="str">
        <x:v>published_list_price</x:v>
      </x:c>
    </x:row>
    <x:row r="10" ht="24" customHeight="1">
      <x:c r="A10" s="5" t="str">
        <x:v>vm-005</x:v>
      </x:c>
      <x:c r="B10" s="5" t="str">
        <x:v>vm</x:v>
      </x:c>
      <x:c r="C10" s="5" t="str">
        <x:v>development</x:v>
      </x:c>
      <x:c r="D10" s="5" t="str">
        <x:v>Bangalore</x:v>
      </x:c>
      <x:c r="E10" s="5" t="str">
        <x:v>amd-memory-4</x:v>
      </x:c>
      <x:c r="F10" s="11" t="n">
        <x:v>10608</x:v>
      </x:c>
      <x:c r="G10" s="5" t="str">
        <x:v>published_list_price</x:v>
      </x:c>
    </x:row>
    <x:row r="11" ht="24" customHeight="1">
      <x:c r="A11" s="8" t="str">
        <x:v>vm-006</x:v>
      </x:c>
      <x:c r="B11" s="8" t="str">
        <x:v>vm</x:v>
      </x:c>
      <x:c r="C11" s="8" t="str">
        <x:v>production</x:v>
      </x:c>
      <x:c r="D11" s="8" t="str">
        <x:v>Mumbai</x:v>
      </x:c>
      <x:c r="E11" s="8" t="str">
        <x:v>intel-basic-3</x:v>
      </x:c>
      <x:c r="F11" s="12" t="n">
        <x:v>4411</x:v>
      </x:c>
      <x:c r="G11" s="8" t="str">
        <x:v>published_list_price</x:v>
      </x:c>
    </x:row>
    <x:row r="12" ht="24" customHeight="1">
      <x:c r="A12" s="5" t="str">
        <x:v>vm-007</x:v>
      </x:c>
      <x:c r="B12" s="5" t="str">
        <x:v>vm</x:v>
      </x:c>
      <x:c r="C12" s="5" t="str">
        <x:v>production</x:v>
      </x:c>
      <x:c r="D12" s="5" t="str">
        <x:v>Noida</x:v>
      </x:c>
      <x:c r="E12" s="5" t="str">
        <x:v>intel-memory-3</x:v>
      </x:c>
      <x:c r="F12" s="11" t="n">
        <x:v>5472</x:v>
      </x:c>
      <x:c r="G12" s="5" t="str">
        <x:v>published_list_price</x:v>
      </x:c>
    </x:row>
    <x:row r="13" ht="24" customHeight="1">
      <x:c r="A13" s="8" t="str">
        <x:v>vm-008</x:v>
      </x:c>
      <x:c r="B13" s="8" t="str">
        <x:v>vm</x:v>
      </x:c>
      <x:c r="C13" s="8" t="str">
        <x:v>staging</x:v>
      </x:c>
      <x:c r="D13" s="8" t="str">
        <x:v>Noida</x:v>
      </x:c>
      <x:c r="E13" s="8" t="str">
        <x:v>amd-cpu-6</x:v>
      </x:c>
      <x:c r="F13" s="12" t="n">
        <x:v>7266</x:v>
      </x:c>
      <x:c r="G13" s="8" t="str">
        <x:v>published_list_price</x:v>
      </x:c>
    </x:row>
    <x:row r="14" ht="24" customHeight="1">
      <x:c r="A14" s="5" t="str">
        <x:v>vm-009</x:v>
      </x:c>
      <x:c r="B14" s="5" t="str">
        <x:v>vm</x:v>
      </x:c>
      <x:c r="C14" s="5" t="str">
        <x:v>production</x:v>
      </x:c>
      <x:c r="D14" s="5" t="str">
        <x:v>Mumbai</x:v>
      </x:c>
      <x:c r="E14" s="5" t="str">
        <x:v>amd-basic-2</x:v>
      </x:c>
      <x:c r="F14" s="11" t="n">
        <x:v>1410</x:v>
      </x:c>
      <x:c r="G14" s="5" t="str">
        <x:v>published_list_price</x:v>
      </x:c>
    </x:row>
    <x:row r="15" ht="24" customHeight="1">
      <x:c r="A15" s="8" t="str">
        <x:v>vm-010</x:v>
      </x:c>
      <x:c r="B15" s="8" t="str">
        <x:v>vm</x:v>
      </x:c>
      <x:c r="C15" s="8" t="str">
        <x:v>development</x:v>
      </x:c>
      <x:c r="D15" s="8" t="str">
        <x:v>Bangalore</x:v>
      </x:c>
      <x:c r="E15" s="8" t="str">
        <x:v>amd-memory-5</x:v>
      </x:c>
      <x:c r="F15" s="12" t="n">
        <x:v>21594</x:v>
      </x:c>
      <x:c r="G15" s="8" t="str">
        <x:v>published_list_price</x:v>
      </x:c>
    </x:row>
    <x:row r="16" ht="24" customHeight="1">
      <x:c r="A16" s="5" t="str">
        <x:v>vm-011</x:v>
      </x:c>
      <x:c r="B16" s="5" t="str">
        <x:v>vm</x:v>
      </x:c>
      <x:c r="C16" s="5" t="str">
        <x:v>development</x:v>
      </x:c>
      <x:c r="D16" s="5" t="str">
        <x:v>Mumbai</x:v>
      </x:c>
      <x:c r="E16" s="5" t="str">
        <x:v>intel-cpu-6</x:v>
      </x:c>
      <x:c r="F16" s="11" t="n">
        <x:v>23995</x:v>
      </x:c>
      <x:c r="G16" s="5" t="str">
        <x:v>published_list_price</x:v>
      </x:c>
    </x:row>
    <x:row r="17" ht="24" customHeight="1">
      <x:c r="A17" s="8" t="str">
        <x:v>vm-012</x:v>
      </x:c>
      <x:c r="B17" s="8" t="str">
        <x:v>vm</x:v>
      </x:c>
      <x:c r="C17" s="8" t="str">
        <x:v>development</x:v>
      </x:c>
      <x:c r="D17" s="8" t="str">
        <x:v>Noida</x:v>
      </x:c>
      <x:c r="E17" s="8" t="str">
        <x:v>amd-basic-7</x:v>
      </x:c>
      <x:c r="F17" s="12" t="n">
        <x:v>6474</x:v>
      </x:c>
      <x:c r="G17" s="8" t="str">
        <x:v>published_list_price</x:v>
      </x:c>
    </x:row>
    <x:row r="18" ht="24" customHeight="1">
      <x:c r="A18" s="5" t="str">
        <x:v>vm-013</x:v>
      </x:c>
      <x:c r="B18" s="5" t="str">
        <x:v>vm</x:v>
      </x:c>
      <x:c r="C18" s="5" t="str">
        <x:v>development</x:v>
      </x:c>
      <x:c r="D18" s="5" t="str">
        <x:v>Mumbai</x:v>
      </x:c>
      <x:c r="E18" s="5" t="str">
        <x:v>amd-basic-5</x:v>
      </x:c>
      <x:c r="F18" s="11" t="n">
        <x:v>3594</x:v>
      </x:c>
      <x:c r="G18" s="5" t="str">
        <x:v>published_list_price</x:v>
      </x:c>
    </x:row>
    <x:row r="19" ht="24" customHeight="1">
      <x:c r="A19" s="8" t="str">
        <x:v>vm-014</x:v>
      </x:c>
      <x:c r="B19" s="8" t="str">
        <x:v>vm</x:v>
      </x:c>
      <x:c r="C19" s="8" t="str">
        <x:v>production</x:v>
      </x:c>
      <x:c r="D19" s="8" t="str">
        <x:v>Mumbai</x:v>
      </x:c>
      <x:c r="E19" s="8" t="str">
        <x:v>intel-memory-3</x:v>
      </x:c>
      <x:c r="F19" s="12" t="n">
        <x:v>5472</x:v>
      </x:c>
      <x:c r="G19" s="8" t="str">
        <x:v>published_list_price</x:v>
      </x:c>
    </x:row>
    <x:row r="20" ht="24" customHeight="1">
      <x:c r="A20" s="5" t="str">
        <x:v>vm-015</x:v>
      </x:c>
      <x:c r="B20" s="5" t="str">
        <x:v>vm</x:v>
      </x:c>
      <x:c r="C20" s="5" t="str">
        <x:v>production</x:v>
      </x:c>
      <x:c r="D20" s="5" t="str">
        <x:v>Mumbai</x:v>
      </x:c>
      <x:c r="E20" s="5" t="str">
        <x:v>intel-cpu-6</x:v>
      </x:c>
      <x:c r="F20" s="11" t="n">
        <x:v>23995</x:v>
      </x:c>
      <x:c r="G20" s="5" t="str">
        <x:v>published_list_price</x:v>
      </x:c>
    </x:row>
    <x:row r="21" ht="24" customHeight="1">
      <x:c r="A21" s="8" t="str">
        <x:v>vm-016</x:v>
      </x:c>
      <x:c r="B21" s="8" t="str">
        <x:v>vm</x:v>
      </x:c>
      <x:c r="C21" s="8" t="str">
        <x:v>production</x:v>
      </x:c>
      <x:c r="D21" s="8" t="str">
        <x:v>Bangalore</x:v>
      </x:c>
      <x:c r="E21" s="8" t="str">
        <x:v>amd-basic-6</x:v>
      </x:c>
      <x:c r="F21" s="12" t="n">
        <x:v>3978</x:v>
      </x:c>
      <x:c r="G21" s="8" t="str">
        <x:v>published_list_price</x:v>
      </x:c>
    </x:row>
    <x:row r="22" ht="24" customHeight="1">
      <x:c r="A22" s="5" t="str">
        <x:v>vm-017</x:v>
      </x:c>
      <x:c r="B22" s="5" t="str">
        <x:v>vm</x:v>
      </x:c>
      <x:c r="C22" s="5" t="str">
        <x:v>production</x:v>
      </x:c>
      <x:c r="D22" s="5" t="str">
        <x:v>Bangalore</x:v>
      </x:c>
      <x:c r="E22" s="5" t="str">
        <x:v>intel-memory-5</x:v>
      </x:c>
      <x:c r="F22" s="11" t="n">
        <x:v>12173</x:v>
      </x:c>
      <x:c r="G22" s="5" t="str">
        <x:v>published_list_price</x:v>
      </x:c>
    </x:row>
    <x:row r="23" ht="24" customHeight="1">
      <x:c r="A23" s="8" t="str">
        <x:v>vm-018</x:v>
      </x:c>
      <x:c r="B23" s="8" t="str">
        <x:v>vm</x:v>
      </x:c>
      <x:c r="C23" s="8" t="str">
        <x:v>production</x:v>
      </x:c>
      <x:c r="D23" s="8" t="str">
        <x:v>Mumbai</x:v>
      </x:c>
      <x:c r="E23" s="8" t="str">
        <x:v>amd-cpu-7</x:v>
      </x:c>
      <x:c r="F23" s="12" t="n">
        <x:v>7146</x:v>
      </x:c>
      <x:c r="G23" s="8" t="str">
        <x:v>published_list_price</x:v>
      </x:c>
    </x:row>
    <x:row r="24" ht="24" customHeight="1">
      <x:c r="A24" s="5" t="str">
        <x:v>vm-019</x:v>
      </x:c>
      <x:c r="B24" s="5" t="str">
        <x:v>vm</x:v>
      </x:c>
      <x:c r="C24" s="5" t="str">
        <x:v>staging</x:v>
      </x:c>
      <x:c r="D24" s="5" t="str">
        <x:v>Bangalore</x:v>
      </x:c>
      <x:c r="E24" s="5" t="str">
        <x:v>amd-basic-1</x:v>
      </x:c>
      <x:c r="F24" s="11" t="n">
        <x:v>1194</x:v>
      </x:c>
      <x:c r="G24" s="5" t="str">
        <x:v>published_list_price</x:v>
      </x:c>
    </x:row>
    <x:row r="25" ht="24" customHeight="1">
      <x:c r="A25" s="8" t="str">
        <x:v>vm-020</x:v>
      </x:c>
      <x:c r="B25" s="8" t="str">
        <x:v>vm</x:v>
      </x:c>
      <x:c r="C25" s="8" t="str">
        <x:v>development</x:v>
      </x:c>
      <x:c r="D25" s="8" t="str">
        <x:v>Mumbai</x:v>
      </x:c>
      <x:c r="E25" s="8" t="str">
        <x:v>intel-cpu-2</x:v>
      </x:c>
      <x:c r="F25" s="12" t="n">
        <x:v>4411</x:v>
      </x:c>
      <x:c r="G25" s="8" t="str">
        <x:v>published_list_price</x:v>
      </x:c>
    </x:row>
    <x:row r="26" ht="24" customHeight="1">
      <x:c r="A26" s="5" t="str">
        <x:v>vm-021</x:v>
      </x:c>
      <x:c r="B26" s="5" t="str">
        <x:v>vm</x:v>
      </x:c>
      <x:c r="C26" s="5" t="str">
        <x:v>production</x:v>
      </x:c>
      <x:c r="D26" s="5" t="str">
        <x:v>Mumbai</x:v>
      </x:c>
      <x:c r="E26" s="5" t="str">
        <x:v>amd-cpu-5</x:v>
      </x:c>
      <x:c r="F26" s="11" t="n">
        <x:v>4746</x:v>
      </x:c>
      <x:c r="G26" s="5" t="str">
        <x:v>published_list_price</x:v>
      </x:c>
    </x:row>
    <x:row r="27" ht="24" customHeight="1">
      <x:c r="A27" s="8" t="str">
        <x:v>vm-022</x:v>
      </x:c>
      <x:c r="B27" s="8" t="str">
        <x:v>vm</x:v>
      </x:c>
      <x:c r="C27" s="8" t="str">
        <x:v>development</x:v>
      </x:c>
      <x:c r="D27" s="8" t="str">
        <x:v>Bangalore</x:v>
      </x:c>
      <x:c r="E27" s="8" t="str">
        <x:v>amd-cpu-2</x:v>
      </x:c>
      <x:c r="F27" s="12" t="n">
        <x:v>2154</x:v>
      </x:c>
      <x:c r="G27" s="8" t="str">
        <x:v>published_list_price</x:v>
      </x:c>
    </x:row>
    <x:row r="28" ht="24" customHeight="1">
      <x:c r="A28" s="5" t="str">
        <x:v>vm-023</x:v>
      </x:c>
      <x:c r="B28" s="5" t="str">
        <x:v>vm</x:v>
      </x:c>
      <x:c r="C28" s="5" t="str">
        <x:v>staging</x:v>
      </x:c>
      <x:c r="D28" s="5" t="str">
        <x:v>Mumbai</x:v>
      </x:c>
      <x:c r="E28" s="5" t="str">
        <x:v>intel-memory-2</x:v>
      </x:c>
      <x:c r="F28" s="11" t="n">
        <x:v>2736</x:v>
      </x:c>
      <x:c r="G28" s="5" t="str">
        <x:v>published_list_price</x:v>
      </x:c>
    </x:row>
    <x:row r="29" ht="24" customHeight="1">
      <x:c r="A29" s="8" t="str">
        <x:v>vm-024</x:v>
      </x:c>
      <x:c r="B29" s="8" t="str">
        <x:v>vm</x:v>
      </x:c>
      <x:c r="C29" s="8" t="str">
        <x:v>development</x:v>
      </x:c>
      <x:c r="D29" s="8" t="str">
        <x:v>Bangalore</x:v>
      </x:c>
      <x:c r="E29" s="8" t="str">
        <x:v>intel-basic-1</x:v>
      </x:c>
      <x:c r="F29" s="12" t="n">
        <x:v>1435</x:v>
      </x:c>
      <x:c r="G29" s="8" t="str">
        <x:v>published_list_price</x:v>
      </x:c>
    </x:row>
    <x:row r="30" ht="24" customHeight="1">
      <x:c r="A30" s="5" t="str">
        <x:v>vm-025</x:v>
      </x:c>
      <x:c r="B30" s="5" t="str">
        <x:v>vm</x:v>
      </x:c>
      <x:c r="C30" s="5" t="str">
        <x:v>development</x:v>
      </x:c>
      <x:c r="D30" s="5" t="str">
        <x:v>Noida</x:v>
      </x:c>
      <x:c r="E30" s="5" t="str">
        <x:v>amd-memory-2</x:v>
      </x:c>
      <x:c r="F30" s="11" t="n">
        <x:v>2652</x:v>
      </x:c>
      <x:c r="G30" s="5" t="str">
        <x:v>published_list_price</x:v>
      </x:c>
    </x:row>
    <x:row r="31" ht="24" customHeight="1">
      <x:c r="A31" s="8" t="str">
        <x:v>vm-026</x:v>
      </x:c>
      <x:c r="B31" s="8" t="str">
        <x:v>vm</x:v>
      </x:c>
      <x:c r="C31" s="8" t="str">
        <x:v>production</x:v>
      </x:c>
      <x:c r="D31" s="8" t="str">
        <x:v>Bangalore</x:v>
      </x:c>
      <x:c r="E31" s="8" t="str">
        <x:v>amd-basic-11</x:v>
      </x:c>
      <x:c r="F31" s="12" t="n">
        <x:v>34986</x:v>
      </x:c>
      <x:c r="G31" s="8" t="str">
        <x:v>published_list_price</x:v>
      </x:c>
    </x:row>
    <x:row r="32" ht="24" customHeight="1">
      <x:c r="A32" s="5" t="str">
        <x:v>vm-027</x:v>
      </x:c>
      <x:c r="B32" s="5" t="str">
        <x:v>vm</x:v>
      </x:c>
      <x:c r="C32" s="5" t="str">
        <x:v>production</x:v>
      </x:c>
      <x:c r="D32" s="5" t="str">
        <x:v>Noida</x:v>
      </x:c>
      <x:c r="E32" s="5" t="str">
        <x:v>amd-basic-5</x:v>
      </x:c>
      <x:c r="F32" s="11" t="n">
        <x:v>3594</x:v>
      </x:c>
      <x:c r="G32" s="5" t="str">
        <x:v>published_list_price</x:v>
      </x:c>
    </x:row>
    <x:row r="33" ht="24" customHeight="1">
      <x:c r="A33" s="8" t="str">
        <x:v>vm-028</x:v>
      </x:c>
      <x:c r="B33" s="8" t="str">
        <x:v>vm</x:v>
      </x:c>
      <x:c r="C33" s="8" t="str">
        <x:v>development</x:v>
      </x:c>
      <x:c r="D33" s="8" t="str">
        <x:v>Bangalore</x:v>
      </x:c>
      <x:c r="E33" s="8" t="str">
        <x:v>amd-basic-5</x:v>
      </x:c>
      <x:c r="F33" s="12" t="n">
        <x:v>3594</x:v>
      </x:c>
      <x:c r="G33" s="8" t="str">
        <x:v>published_list_price</x:v>
      </x:c>
    </x:row>
    <x:row r="34" ht="24" customHeight="1">
      <x:c r="A34" s="5" t="str">
        <x:v>vm-029</x:v>
      </x:c>
      <x:c r="B34" s="5" t="str">
        <x:v>vm</x:v>
      </x:c>
      <x:c r="C34" s="5" t="str">
        <x:v>staging</x:v>
      </x:c>
      <x:c r="D34" s="5" t="str">
        <x:v>Noida</x:v>
      </x:c>
      <x:c r="E34" s="5" t="str">
        <x:v>amd-basic-1</x:v>
      </x:c>
      <x:c r="F34" s="11" t="n">
        <x:v>1194</x:v>
      </x:c>
      <x:c r="G34" s="5" t="str">
        <x:v>published_list_price</x:v>
      </x:c>
    </x:row>
    <x:row r="35" ht="24" customHeight="1">
      <x:c r="A35" s="8" t="str">
        <x:v>vm-030</x:v>
      </x:c>
      <x:c r="B35" s="8" t="str">
        <x:v>vm</x:v>
      </x:c>
      <x:c r="C35" s="8" t="str">
        <x:v>production</x:v>
      </x:c>
      <x:c r="D35" s="8" t="str">
        <x:v>Bangalore</x:v>
      </x:c>
      <x:c r="E35" s="8" t="str">
        <x:v>amd-basic-4</x:v>
      </x:c>
      <x:c r="F35" s="12" t="n">
        <x:v>2826</x:v>
      </x:c>
      <x:c r="G35" s="8" t="str">
        <x:v>published_list_price</x:v>
      </x:c>
    </x:row>
    <x:row r="36" ht="24" customHeight="1">
      <x:c r="A36" s="5" t="str">
        <x:v>vm-031</x:v>
      </x:c>
      <x:c r="B36" s="5" t="str">
        <x:v>vm</x:v>
      </x:c>
      <x:c r="C36" s="5" t="str">
        <x:v>staging</x:v>
      </x:c>
      <x:c r="D36" s="5" t="str">
        <x:v>Noida</x:v>
      </x:c>
      <x:c r="E36" s="5" t="str">
        <x:v>amd-cpu-1</x:v>
      </x:c>
      <x:c r="F36" s="11" t="n">
        <x:v>1794</x:v>
      </x:c>
      <x:c r="G36" s="5" t="str">
        <x:v>published_list_price</x:v>
      </x:c>
    </x:row>
    <x:row r="37" ht="24" customHeight="1">
      <x:c r="A37" s="8" t="str">
        <x:v>vm-032</x:v>
      </x:c>
      <x:c r="B37" s="8" t="str">
        <x:v>vm</x:v>
      </x:c>
      <x:c r="C37" s="8" t="str">
        <x:v>staging</x:v>
      </x:c>
      <x:c r="D37" s="8" t="str">
        <x:v>Noida</x:v>
      </x:c>
      <x:c r="E37" s="8" t="str">
        <x:v>amd-memory-4</x:v>
      </x:c>
      <x:c r="F37" s="12" t="n">
        <x:v>10608</x:v>
      </x:c>
      <x:c r="G37" s="8" t="str">
        <x:v>published_list_price</x:v>
      </x:c>
    </x:row>
    <x:row r="38" ht="24" customHeight="1">
      <x:c r="A38" s="5" t="str">
        <x:v>vm-033</x:v>
      </x:c>
      <x:c r="B38" s="5" t="str">
        <x:v>vm</x:v>
      </x:c>
      <x:c r="C38" s="5" t="str">
        <x:v>staging</x:v>
      </x:c>
      <x:c r="D38" s="5" t="str">
        <x:v>Bangalore</x:v>
      </x:c>
      <x:c r="E38" s="5" t="str">
        <x:v>amd-basic-1</x:v>
      </x:c>
      <x:c r="F38" s="11" t="n">
        <x:v>1194</x:v>
      </x:c>
      <x:c r="G38" s="5" t="str">
        <x:v>published_list_price</x:v>
      </x:c>
    </x:row>
    <x:row r="39" ht="24" customHeight="1">
      <x:c r="A39" s="8" t="str">
        <x:v>vm-034</x:v>
      </x:c>
      <x:c r="B39" s="8" t="str">
        <x:v>vm</x:v>
      </x:c>
      <x:c r="C39" s="8" t="str">
        <x:v>staging</x:v>
      </x:c>
      <x:c r="D39" s="8" t="str">
        <x:v>Noida</x:v>
      </x:c>
      <x:c r="E39" s="8" t="str">
        <x:v>amd-cpu-5</x:v>
      </x:c>
      <x:c r="F39" s="12" t="n">
        <x:v>4746</x:v>
      </x:c>
      <x:c r="G39" s="8" t="str">
        <x:v>published_list_price</x:v>
      </x:c>
    </x:row>
    <x:row r="40" ht="24" customHeight="1">
      <x:c r="A40" s="5" t="str">
        <x:v>vm-035</x:v>
      </x:c>
      <x:c r="B40" s="5" t="str">
        <x:v>vm</x:v>
      </x:c>
      <x:c r="C40" s="5" t="str">
        <x:v>production</x:v>
      </x:c>
      <x:c r="D40" s="5" t="str">
        <x:v>Noida</x:v>
      </x:c>
      <x:c r="E40" s="5" t="str">
        <x:v>amd-cpu-4</x:v>
      </x:c>
      <x:c r="F40" s="11" t="n">
        <x:v>3570</x:v>
      </x:c>
      <x:c r="G40" s="5" t="str">
        <x:v>published_list_price</x:v>
      </x:c>
    </x:row>
    <x:row r="41" ht="24" customHeight="1">
      <x:c r="A41" s="8" t="str">
        <x:v>vm-036</x:v>
      </x:c>
      <x:c r="B41" s="8" t="str">
        <x:v>vm</x:v>
      </x:c>
      <x:c r="C41" s="8" t="str">
        <x:v>development</x:v>
      </x:c>
      <x:c r="D41" s="8" t="str">
        <x:v>Mumbai</x:v>
      </x:c>
      <x:c r="E41" s="8" t="str">
        <x:v>amd-basic-1</x:v>
      </x:c>
      <x:c r="F41" s="12" t="n">
        <x:v>1194</x:v>
      </x:c>
      <x:c r="G41" s="8" t="str">
        <x:v>published_list_price</x:v>
      </x:c>
    </x:row>
    <x:row r="42" ht="24" customHeight="1">
      <x:c r="A42" s="5" t="str">
        <x:v>vm-037</x:v>
      </x:c>
      <x:c r="B42" s="5" t="str">
        <x:v>vm</x:v>
      </x:c>
      <x:c r="C42" s="5" t="str">
        <x:v>production</x:v>
      </x:c>
      <x:c r="D42" s="5" t="str">
        <x:v>Mumbai</x:v>
      </x:c>
      <x:c r="E42" s="5" t="str">
        <x:v>amd-cpu-3</x:v>
      </x:c>
      <x:c r="F42" s="11" t="n">
        <x:v>2370</x:v>
      </x:c>
      <x:c r="G42" s="5" t="str">
        <x:v>published_list_price</x:v>
      </x:c>
    </x:row>
    <x:row r="43" ht="24" customHeight="1">
      <x:c r="A43" s="8" t="str">
        <x:v>vm-038</x:v>
      </x:c>
      <x:c r="B43" s="8" t="str">
        <x:v>vm</x:v>
      </x:c>
      <x:c r="C43" s="8" t="str">
        <x:v>staging</x:v>
      </x:c>
      <x:c r="D43" s="8" t="str">
        <x:v>Noida</x:v>
      </x:c>
      <x:c r="E43" s="8" t="str">
        <x:v>intel-basic-1</x:v>
      </x:c>
      <x:c r="F43" s="12" t="n">
        <x:v>1435</x:v>
      </x:c>
      <x:c r="G43" s="8" t="str">
        <x:v>published_list_price</x:v>
      </x:c>
    </x:row>
    <x:row r="44" ht="24" customHeight="1">
      <x:c r="A44" s="5" t="str">
        <x:v>vm-039</x:v>
      </x:c>
      <x:c r="B44" s="5" t="str">
        <x:v>vm</x:v>
      </x:c>
      <x:c r="C44" s="5" t="str">
        <x:v>development</x:v>
      </x:c>
      <x:c r="D44" s="5" t="str">
        <x:v>Mumbai</x:v>
      </x:c>
      <x:c r="E44" s="5" t="str">
        <x:v>amd-memory-3</x:v>
      </x:c>
      <x:c r="F44" s="11" t="n">
        <x:v>5304</x:v>
      </x:c>
      <x:c r="G44" s="5" t="str">
        <x:v>published_list_price</x:v>
      </x:c>
    </x:row>
    <x:row r="45" ht="24" customHeight="1">
      <x:c r="A45" s="8" t="str">
        <x:v>vm-040</x:v>
      </x:c>
      <x:c r="B45" s="8" t="str">
        <x:v>vm</x:v>
      </x:c>
      <x:c r="C45" s="8" t="str">
        <x:v>development</x:v>
      </x:c>
      <x:c r="D45" s="8" t="str">
        <x:v>Noida</x:v>
      </x:c>
      <x:c r="E45" s="8" t="str">
        <x:v>amd-cpu-5</x:v>
      </x:c>
      <x:c r="F45" s="12" t="n">
        <x:v>4746</x:v>
      </x:c>
      <x:c r="G45" s="8" t="str">
        <x:v>published_list_price</x:v>
      </x:c>
    </x:row>
    <x:row r="46" ht="24" customHeight="1">
      <x:c r="A46" s="5" t="str">
        <x:v>vm-041</x:v>
      </x:c>
      <x:c r="B46" s="5" t="str">
        <x:v>vm</x:v>
      </x:c>
      <x:c r="C46" s="5" t="str">
        <x:v>development</x:v>
      </x:c>
      <x:c r="D46" s="5" t="str">
        <x:v>Noida</x:v>
      </x:c>
      <x:c r="E46" s="5" t="str">
        <x:v>intel-memory-1</x:v>
      </x:c>
      <x:c r="F46" s="11" t="n">
        <x:v>1531</x:v>
      </x:c>
      <x:c r="G46" s="5" t="str">
        <x:v>published_list_price</x:v>
      </x:c>
    </x:row>
    <x:row r="47" ht="24" customHeight="1">
      <x:c r="A47" s="8" t="str">
        <x:v>vm-042</x:v>
      </x:c>
      <x:c r="B47" s="8" t="str">
        <x:v>vm</x:v>
      </x:c>
      <x:c r="C47" s="8" t="str">
        <x:v>development</x:v>
      </x:c>
      <x:c r="D47" s="8" t="str">
        <x:v>Bangalore</x:v>
      </x:c>
      <x:c r="E47" s="8" t="str">
        <x:v>amd-basic-3</x:v>
      </x:c>
      <x:c r="F47" s="12" t="n">
        <x:v>2034</x:v>
      </x:c>
      <x:c r="G47" s="8" t="str">
        <x:v>published_list_price</x:v>
      </x:c>
    </x:row>
    <x:row r="48" ht="24" customHeight="1">
      <x:c r="A48" s="5" t="str">
        <x:v>vm-043</x:v>
      </x:c>
      <x:c r="B48" s="5" t="str">
        <x:v>vm</x:v>
      </x:c>
      <x:c r="C48" s="5" t="str">
        <x:v>production</x:v>
      </x:c>
      <x:c r="D48" s="5" t="str">
        <x:v>Mumbai</x:v>
      </x:c>
      <x:c r="E48" s="5" t="str">
        <x:v>amd-cpu-1</x:v>
      </x:c>
      <x:c r="F48" s="11" t="n">
        <x:v>1794</x:v>
      </x:c>
      <x:c r="G48" s="5" t="str">
        <x:v>published_list_price</x:v>
      </x:c>
    </x:row>
    <x:row r="49" ht="24" customHeight="1">
      <x:c r="A49" s="8" t="str">
        <x:v>vm-044</x:v>
      </x:c>
      <x:c r="B49" s="8" t="str">
        <x:v>vm</x:v>
      </x:c>
      <x:c r="C49" s="8" t="str">
        <x:v>staging</x:v>
      </x:c>
      <x:c r="D49" s="8" t="str">
        <x:v>Bangalore</x:v>
      </x:c>
      <x:c r="E49" s="8" t="str">
        <x:v>intel-memory-2</x:v>
      </x:c>
      <x:c r="F49" s="12" t="n">
        <x:v>2736</x:v>
      </x:c>
      <x:c r="G49" s="8" t="str">
        <x:v>published_list_price</x:v>
      </x:c>
    </x:row>
    <x:row r="50" ht="24" customHeight="1">
      <x:c r="A50" s="5" t="str">
        <x:v>vm-045</x:v>
      </x:c>
      <x:c r="B50" s="5" t="str">
        <x:v>vm</x:v>
      </x:c>
      <x:c r="C50" s="5" t="str">
        <x:v>production</x:v>
      </x:c>
      <x:c r="D50" s="5" t="str">
        <x:v>Noida</x:v>
      </x:c>
      <x:c r="E50" s="5" t="str">
        <x:v>amd-basic-2</x:v>
      </x:c>
      <x:c r="F50" s="11" t="n">
        <x:v>1410</x:v>
      </x:c>
      <x:c r="G50" s="5" t="str">
        <x:v>published_list_price</x:v>
      </x:c>
    </x:row>
    <x:row r="51" ht="24" customHeight="1">
      <x:c r="A51" s="8" t="str">
        <x:v>vm-046</x:v>
      </x:c>
      <x:c r="B51" s="8" t="str">
        <x:v>vm</x:v>
      </x:c>
      <x:c r="C51" s="8" t="str">
        <x:v>production</x:v>
      </x:c>
      <x:c r="D51" s="8" t="str">
        <x:v>Noida</x:v>
      </x:c>
      <x:c r="E51" s="8" t="str">
        <x:v>amd-cpu-4</x:v>
      </x:c>
      <x:c r="F51" s="12" t="n">
        <x:v>3570</x:v>
      </x:c>
      <x:c r="G51" s="8" t="str">
        <x:v>published_list_price</x:v>
      </x:c>
    </x:row>
    <x:row r="52" ht="24" customHeight="1">
      <x:c r="A52" s="5" t="str">
        <x:v>vm-047</x:v>
      </x:c>
      <x:c r="B52" s="5" t="str">
        <x:v>vm</x:v>
      </x:c>
      <x:c r="C52" s="5" t="str">
        <x:v>development</x:v>
      </x:c>
      <x:c r="D52" s="5" t="str">
        <x:v>Noida</x:v>
      </x:c>
      <x:c r="E52" s="5" t="str">
        <x:v>amd-cpu-1</x:v>
      </x:c>
      <x:c r="F52" s="11" t="n">
        <x:v>1794</x:v>
      </x:c>
      <x:c r="G52" s="5" t="str">
        <x:v>published_list_price</x:v>
      </x:c>
    </x:row>
    <x:row r="53" ht="24" customHeight="1">
      <x:c r="A53" s="8" t="str">
        <x:v>vm-048</x:v>
      </x:c>
      <x:c r="B53" s="8" t="str">
        <x:v>vm</x:v>
      </x:c>
      <x:c r="C53" s="8" t="str">
        <x:v>staging</x:v>
      </x:c>
      <x:c r="D53" s="8" t="str">
        <x:v>Mumbai</x:v>
      </x:c>
      <x:c r="E53" s="8" t="str">
        <x:v>amd-basic-5</x:v>
      </x:c>
      <x:c r="F53" s="12" t="n">
        <x:v>3594</x:v>
      </x:c>
      <x:c r="G53" s="8" t="str">
        <x:v>published_list_price</x:v>
      </x:c>
    </x:row>
    <x:row r="54" ht="24" customHeight="1">
      <x:c r="A54" s="5" t="str">
        <x:v>vm-049</x:v>
      </x:c>
      <x:c r="B54" s="5" t="str">
        <x:v>vm</x:v>
      </x:c>
      <x:c r="C54" s="5" t="str">
        <x:v>development</x:v>
      </x:c>
      <x:c r="D54" s="5" t="str">
        <x:v>Noida</x:v>
      </x:c>
      <x:c r="E54" s="5" t="str">
        <x:v>intel-memory-1</x:v>
      </x:c>
      <x:c r="F54" s="11" t="n">
        <x:v>1531</x:v>
      </x:c>
      <x:c r="G54" s="5" t="str">
        <x:v>published_list_price</x:v>
      </x:c>
    </x:row>
    <x:row r="55" ht="24" customHeight="1">
      <x:c r="A55" s="8" t="str">
        <x:v>vm-050</x:v>
      </x:c>
      <x:c r="B55" s="8" t="str">
        <x:v>vm</x:v>
      </x:c>
      <x:c r="C55" s="8" t="str">
        <x:v>staging</x:v>
      </x:c>
      <x:c r="D55" s="8" t="str">
        <x:v>Mumbai</x:v>
      </x:c>
      <x:c r="E55" s="8" t="str">
        <x:v>intel-cpu-1</x:v>
      </x:c>
      <x:c r="F55" s="12" t="n">
        <x:v>2203</x:v>
      </x:c>
      <x:c r="G55" s="8" t="str">
        <x:v>published_list_price</x:v>
      </x:c>
    </x:row>
    <x:row r="56" ht="24" customHeight="1">
      <x:c r="A56" s="5" t="str">
        <x:v>vm-051</x:v>
      </x:c>
      <x:c r="B56" s="5" t="str">
        <x:v>vm</x:v>
      </x:c>
      <x:c r="C56" s="5" t="str">
        <x:v>staging</x:v>
      </x:c>
      <x:c r="D56" s="5" t="str">
        <x:v>Bangalore</x:v>
      </x:c>
      <x:c r="E56" s="5" t="str">
        <x:v>amd-basic-11</x:v>
      </x:c>
      <x:c r="F56" s="11" t="n">
        <x:v>34986</x:v>
      </x:c>
      <x:c r="G56" s="5" t="str">
        <x:v>published_list_price</x:v>
      </x:c>
    </x:row>
    <x:row r="57" ht="24" customHeight="1">
      <x:c r="A57" s="8" t="str">
        <x:v>vm-052</x:v>
      </x:c>
      <x:c r="B57" s="8" t="str">
        <x:v>vm</x:v>
      </x:c>
      <x:c r="C57" s="8" t="str">
        <x:v>development</x:v>
      </x:c>
      <x:c r="D57" s="8" t="str">
        <x:v>Bangalore</x:v>
      </x:c>
      <x:c r="E57" s="8" t="str">
        <x:v>amd-cpu-13</x:v>
      </x:c>
      <x:c r="F57" s="12" t="n">
        <x:v>68610</x:v>
      </x:c>
      <x:c r="G57" s="8" t="str">
        <x:v>published_list_price</x:v>
      </x:c>
    </x:row>
    <x:row r="58" ht="24" customHeight="1">
      <x:c r="A58" s="5" t="str">
        <x:v>vm-053</x:v>
      </x:c>
      <x:c r="B58" s="5" t="str">
        <x:v>vm</x:v>
      </x:c>
      <x:c r="C58" s="5" t="str">
        <x:v>development</x:v>
      </x:c>
      <x:c r="D58" s="5" t="str">
        <x:v>Bangalore</x:v>
      </x:c>
      <x:c r="E58" s="5" t="str">
        <x:v>intel-memory-2</x:v>
      </x:c>
      <x:c r="F58" s="11" t="n">
        <x:v>2736</x:v>
      </x:c>
      <x:c r="G58" s="5" t="str">
        <x:v>published_list_price</x:v>
      </x:c>
    </x:row>
    <x:row r="59" ht="24" customHeight="1">
      <x:c r="A59" s="8" t="str">
        <x:v>vm-054</x:v>
      </x:c>
      <x:c r="B59" s="8" t="str">
        <x:v>vm</x:v>
      </x:c>
      <x:c r="C59" s="8" t="str">
        <x:v>staging</x:v>
      </x:c>
      <x:c r="D59" s="8" t="str">
        <x:v>Bangalore</x:v>
      </x:c>
      <x:c r="E59" s="8" t="str">
        <x:v>intel-basic-5</x:v>
      </x:c>
      <x:c r="F59" s="12" t="n">
        <x:v>12475</x:v>
      </x:c>
      <x:c r="G59" s="8" t="str">
        <x:v>published_list_price</x:v>
      </x:c>
    </x:row>
    <x:row r="60" ht="24" customHeight="1">
      <x:c r="A60" s="5" t="str">
        <x:v>vm-055</x:v>
      </x:c>
      <x:c r="B60" s="5" t="str">
        <x:v>vm</x:v>
      </x:c>
      <x:c r="C60" s="5" t="str">
        <x:v>development</x:v>
      </x:c>
      <x:c r="D60" s="5" t="str">
        <x:v>Noida</x:v>
      </x:c>
      <x:c r="E60" s="5" t="str">
        <x:v>intel-cpu-4</x:v>
      </x:c>
      <x:c r="F60" s="11" t="n">
        <x:v>12475</x:v>
      </x:c>
      <x:c r="G60" s="5" t="str">
        <x:v>published_list_price</x:v>
      </x:c>
    </x:row>
    <x:row r="61" ht="24" customHeight="1">
      <x:c r="A61" s="8" t="str">
        <x:v>vm-056</x:v>
      </x:c>
      <x:c r="B61" s="8" t="str">
        <x:v>vm</x:v>
      </x:c>
      <x:c r="C61" s="8" t="str">
        <x:v>production</x:v>
      </x:c>
      <x:c r="D61" s="8" t="str">
        <x:v>Bangalore</x:v>
      </x:c>
      <x:c r="E61" s="8" t="str">
        <x:v>amd-cpu-3</x:v>
      </x:c>
      <x:c r="F61" s="12" t="n">
        <x:v>2370</x:v>
      </x:c>
      <x:c r="G61" s="8" t="str">
        <x:v>published_list_price</x:v>
      </x:c>
    </x:row>
    <x:row r="62" ht="24" customHeight="1">
      <x:c r="A62" s="5" t="str">
        <x:v>vm-057</x:v>
      </x:c>
      <x:c r="B62" s="5" t="str">
        <x:v>vm</x:v>
      </x:c>
      <x:c r="C62" s="5" t="str">
        <x:v>staging</x:v>
      </x:c>
      <x:c r="D62" s="5" t="str">
        <x:v>Mumbai</x:v>
      </x:c>
      <x:c r="E62" s="5" t="str">
        <x:v>amd-cpu-2</x:v>
      </x:c>
      <x:c r="F62" s="11" t="n">
        <x:v>2154</x:v>
      </x:c>
      <x:c r="G62" s="5" t="str">
        <x:v>published_list_price</x:v>
      </x:c>
    </x:row>
    <x:row r="63" ht="24" customHeight="1">
      <x:c r="A63" s="8" t="str">
        <x:v>vm-058</x:v>
      </x:c>
      <x:c r="B63" s="8" t="str">
        <x:v>vm</x:v>
      </x:c>
      <x:c r="C63" s="8" t="str">
        <x:v>staging</x:v>
      </x:c>
      <x:c r="D63" s="8" t="str">
        <x:v>Noida</x:v>
      </x:c>
      <x:c r="E63" s="8" t="str">
        <x:v>intel-memory-1</x:v>
      </x:c>
      <x:c r="F63" s="12" t="n">
        <x:v>1531</x:v>
      </x:c>
      <x:c r="G63" s="8" t="str">
        <x:v>published_list_price</x:v>
      </x:c>
    </x:row>
    <x:row r="64" ht="24" customHeight="1">
      <x:c r="A64" s="5" t="str">
        <x:v>vm-059</x:v>
      </x:c>
      <x:c r="B64" s="5" t="str">
        <x:v>vm</x:v>
      </x:c>
      <x:c r="C64" s="5" t="str">
        <x:v>production</x:v>
      </x:c>
      <x:c r="D64" s="5" t="str">
        <x:v>Bangalore</x:v>
      </x:c>
      <x:c r="E64" s="5" t="str">
        <x:v>intel-basic-5</x:v>
      </x:c>
      <x:c r="F64" s="11" t="n">
        <x:v>12475</x:v>
      </x:c>
      <x:c r="G64" s="5" t="str">
        <x:v>published_list_price</x:v>
      </x:c>
    </x:row>
    <x:row r="65" ht="24" customHeight="1">
      <x:c r="A65" s="8" t="str">
        <x:v>vm-060</x:v>
      </x:c>
      <x:c r="B65" s="8" t="str">
        <x:v>vm</x:v>
      </x:c>
      <x:c r="C65" s="8" t="str">
        <x:v>staging</x:v>
      </x:c>
      <x:c r="D65" s="8" t="str">
        <x:v>Bangalore</x:v>
      </x:c>
      <x:c r="E65" s="8" t="str">
        <x:v>amd-memory-3</x:v>
      </x:c>
      <x:c r="F65" s="12" t="n">
        <x:v>5304</x:v>
      </x:c>
      <x:c r="G65" s="8" t="str">
        <x:v>published_list_price</x:v>
      </x:c>
    </x:row>
    <x:row r="66" ht="24" customHeight="1">
      <x:c r="A66" s="5" t="str">
        <x:v>vm-061</x:v>
      </x:c>
      <x:c r="B66" s="5" t="str">
        <x:v>vm</x:v>
      </x:c>
      <x:c r="C66" s="5" t="str">
        <x:v>staging</x:v>
      </x:c>
      <x:c r="D66" s="5" t="str">
        <x:v>Noida</x:v>
      </x:c>
      <x:c r="E66" s="5" t="str">
        <x:v>intel-basic-5</x:v>
      </x:c>
      <x:c r="F66" s="11" t="n">
        <x:v>12475</x:v>
      </x:c>
      <x:c r="G66" s="5" t="str">
        <x:v>published_list_price</x:v>
      </x:c>
    </x:row>
    <x:row r="67" ht="24" customHeight="1">
      <x:c r="A67" s="8" t="str">
        <x:v>vm-062</x:v>
      </x:c>
      <x:c r="B67" s="8" t="str">
        <x:v>vm</x:v>
      </x:c>
      <x:c r="C67" s="8" t="str">
        <x:v>staging</x:v>
      </x:c>
      <x:c r="D67" s="8" t="str">
        <x:v>Noida</x:v>
      </x:c>
      <x:c r="E67" s="8" t="str">
        <x:v>amd-memory-3</x:v>
      </x:c>
      <x:c r="F67" s="12" t="n">
        <x:v>5304</x:v>
      </x:c>
      <x:c r="G67" s="8" t="str">
        <x:v>published_list_price</x:v>
      </x:c>
    </x:row>
    <x:row r="68" ht="24" customHeight="1">
      <x:c r="A68" s="5" t="str">
        <x:v>vm-063</x:v>
      </x:c>
      <x:c r="B68" s="5" t="str">
        <x:v>vm</x:v>
      </x:c>
      <x:c r="C68" s="5" t="str">
        <x:v>production</x:v>
      </x:c>
      <x:c r="D68" s="5" t="str">
        <x:v>Mumbai</x:v>
      </x:c>
      <x:c r="E68" s="5" t="str">
        <x:v>amd-memory-1</x:v>
      </x:c>
      <x:c r="F68" s="11" t="n">
        <x:v>1338</x:v>
      </x:c>
      <x:c r="G68" s="5" t="str">
        <x:v>published_list_price</x:v>
      </x:c>
    </x:row>
    <x:row r="69" ht="24" customHeight="1">
      <x:c r="A69" s="8" t="str">
        <x:v>vm-064</x:v>
      </x:c>
      <x:c r="B69" s="8" t="str">
        <x:v>vm</x:v>
      </x:c>
      <x:c r="C69" s="8" t="str">
        <x:v>development</x:v>
      </x:c>
      <x:c r="D69" s="8" t="str">
        <x:v>Mumbai</x:v>
      </x:c>
      <x:c r="E69" s="8" t="str">
        <x:v>amd-memory-2</x:v>
      </x:c>
      <x:c r="F69" s="12" t="n">
        <x:v>2652</x:v>
      </x:c>
      <x:c r="G69" s="8" t="str">
        <x:v>published_list_price</x:v>
      </x:c>
    </x:row>
    <x:row r="70" ht="24" customHeight="1">
      <x:c r="A70" s="5" t="str">
        <x:v>vm-065</x:v>
      </x:c>
      <x:c r="B70" s="5" t="str">
        <x:v>vm</x:v>
      </x:c>
      <x:c r="C70" s="5" t="str">
        <x:v>development</x:v>
      </x:c>
      <x:c r="D70" s="5" t="str">
        <x:v>Bangalore</x:v>
      </x:c>
      <x:c r="E70" s="5" t="str">
        <x:v>amd-basic-4</x:v>
      </x:c>
      <x:c r="F70" s="11" t="n">
        <x:v>2826</x:v>
      </x:c>
      <x:c r="G70" s="5" t="str">
        <x:v>published_list_price</x:v>
      </x:c>
    </x:row>
    <x:row r="71" ht="24" customHeight="1">
      <x:c r="A71" s="8" t="str">
        <x:v>vm-066</x:v>
      </x:c>
      <x:c r="B71" s="8" t="str">
        <x:v>vm</x:v>
      </x:c>
      <x:c r="C71" s="8" t="str">
        <x:v>production</x:v>
      </x:c>
      <x:c r="D71" s="8" t="str">
        <x:v>Mumbai</x:v>
      </x:c>
      <x:c r="E71" s="8" t="str">
        <x:v>intel-basic-2</x:v>
      </x:c>
      <x:c r="F71" s="12" t="n">
        <x:v>2875</x:v>
      </x:c>
      <x:c r="G71" s="8" t="str">
        <x:v>published_list_price</x:v>
      </x:c>
    </x:row>
    <x:row r="72" ht="24" customHeight="1">
      <x:c r="A72" s="5" t="str">
        <x:v>vm-067</x:v>
      </x:c>
      <x:c r="B72" s="5" t="str">
        <x:v>vm</x:v>
      </x:c>
      <x:c r="C72" s="5" t="str">
        <x:v>production</x:v>
      </x:c>
      <x:c r="D72" s="5" t="str">
        <x:v>Noida</x:v>
      </x:c>
      <x:c r="E72" s="5" t="str">
        <x:v>intel-cpu-1</x:v>
      </x:c>
      <x:c r="F72" s="11" t="n">
        <x:v>2203</x:v>
      </x:c>
      <x:c r="G72" s="5" t="str">
        <x:v>published_list_price</x:v>
      </x:c>
    </x:row>
    <x:row r="73" ht="24" customHeight="1">
      <x:c r="A73" s="8" t="str">
        <x:v>vm-068</x:v>
      </x:c>
      <x:c r="B73" s="8" t="str">
        <x:v>vm</x:v>
      </x:c>
      <x:c r="C73" s="8" t="str">
        <x:v>development</x:v>
      </x:c>
      <x:c r="D73" s="8" t="str">
        <x:v>Mumbai</x:v>
      </x:c>
      <x:c r="E73" s="8" t="str">
        <x:v>amd-cpu-7</x:v>
      </x:c>
      <x:c r="F73" s="12" t="n">
        <x:v>7146</x:v>
      </x:c>
      <x:c r="G73" s="8" t="str">
        <x:v>published_list_price</x:v>
      </x:c>
    </x:row>
    <x:row r="74" ht="24" customHeight="1">
      <x:c r="A74" s="5" t="str">
        <x:v>vm-069</x:v>
      </x:c>
      <x:c r="B74" s="5" t="str">
        <x:v>vm</x:v>
      </x:c>
      <x:c r="C74" s="5" t="str">
        <x:v>development</x:v>
      </x:c>
      <x:c r="D74" s="5" t="str">
        <x:v>Mumbai</x:v>
      </x:c>
      <x:c r="E74" s="5" t="str">
        <x:v>intel-memory-4</x:v>
      </x:c>
      <x:c r="F74" s="11" t="n">
        <x:v>10944</x:v>
      </x:c>
      <x:c r="G74" s="5" t="str">
        <x:v>published_list_price</x:v>
      </x:c>
    </x:row>
    <x:row r="75" ht="24" customHeight="1">
      <x:c r="A75" s="8" t="str">
        <x:v>vm-070</x:v>
      </x:c>
      <x:c r="B75" s="8" t="str">
        <x:v>vm</x:v>
      </x:c>
      <x:c r="C75" s="8" t="str">
        <x:v>development</x:v>
      </x:c>
      <x:c r="D75" s="8" t="str">
        <x:v>Mumbai</x:v>
      </x:c>
      <x:c r="E75" s="8" t="str">
        <x:v>amd-cpu-6</x:v>
      </x:c>
      <x:c r="F75" s="12" t="n">
        <x:v>7266</x:v>
      </x:c>
      <x:c r="G75" s="8" t="str">
        <x:v>published_list_price</x:v>
      </x:c>
    </x:row>
    <x:row r="76" ht="24" customHeight="1">
      <x:c r="A76" s="5" t="str">
        <x:v>vm-071</x:v>
      </x:c>
      <x:c r="B76" s="5" t="str">
        <x:v>vm</x:v>
      </x:c>
      <x:c r="C76" s="5" t="str">
        <x:v>development</x:v>
      </x:c>
      <x:c r="D76" s="5" t="str">
        <x:v>Bangalore</x:v>
      </x:c>
      <x:c r="E76" s="5" t="str">
        <x:v>amd-basic-2</x:v>
      </x:c>
      <x:c r="F76" s="11" t="n">
        <x:v>1410</x:v>
      </x:c>
      <x:c r="G76" s="5" t="str">
        <x:v>published_list_price</x:v>
      </x:c>
    </x:row>
    <x:row r="77" ht="24" customHeight="1">
      <x:c r="A77" s="8" t="str">
        <x:v>vm-072</x:v>
      </x:c>
      <x:c r="B77" s="8" t="str">
        <x:v>vm</x:v>
      </x:c>
      <x:c r="C77" s="8" t="str">
        <x:v>production</x:v>
      </x:c>
      <x:c r="D77" s="8" t="str">
        <x:v>Noida</x:v>
      </x:c>
      <x:c r="E77" s="8" t="str">
        <x:v>intel-memory-1</x:v>
      </x:c>
      <x:c r="F77" s="12" t="n">
        <x:v>1531</x:v>
      </x:c>
      <x:c r="G77" s="8" t="str">
        <x:v>published_list_price</x:v>
      </x:c>
    </x:row>
    <x:row r="78" ht="24" customHeight="1">
      <x:c r="A78" s="5" t="str">
        <x:v>vm-073</x:v>
      </x:c>
      <x:c r="B78" s="5" t="str">
        <x:v>vm</x:v>
      </x:c>
      <x:c r="C78" s="5" t="str">
        <x:v>development</x:v>
      </x:c>
      <x:c r="D78" s="5" t="str">
        <x:v>Bangalore</x:v>
      </x:c>
      <x:c r="E78" s="5" t="str">
        <x:v>amd-cpu-4</x:v>
      </x:c>
      <x:c r="F78" s="11" t="n">
        <x:v>3570</x:v>
      </x:c>
      <x:c r="G78" s="5" t="str">
        <x:v>published_list_price</x:v>
      </x:c>
    </x:row>
    <x:row r="79" ht="24" customHeight="1">
      <x:c r="A79" s="8" t="str">
        <x:v>vm-074</x:v>
      </x:c>
      <x:c r="B79" s="8" t="str">
        <x:v>vm</x:v>
      </x:c>
      <x:c r="C79" s="8" t="str">
        <x:v>staging</x:v>
      </x:c>
      <x:c r="D79" s="8" t="str">
        <x:v>Bangalore</x:v>
      </x:c>
      <x:c r="E79" s="8" t="str">
        <x:v>amd-cpu-3</x:v>
      </x:c>
      <x:c r="F79" s="12" t="n">
        <x:v>2370</x:v>
      </x:c>
      <x:c r="G79" s="8" t="str">
        <x:v>published_list_price</x:v>
      </x:c>
    </x:row>
    <x:row r="80" ht="24" customHeight="1">
      <x:c r="A80" s="5" t="str">
        <x:v>vm-075</x:v>
      </x:c>
      <x:c r="B80" s="5" t="str">
        <x:v>vm</x:v>
      </x:c>
      <x:c r="C80" s="5" t="str">
        <x:v>staging</x:v>
      </x:c>
      <x:c r="D80" s="5" t="str">
        <x:v>Bangalore</x:v>
      </x:c>
      <x:c r="E80" s="5" t="str">
        <x:v>amd-cpu-13</x:v>
      </x:c>
      <x:c r="F80" s="11" t="n">
        <x:v>68610</x:v>
      </x:c>
      <x:c r="G80" s="5" t="str">
        <x:v>published_list_price</x:v>
      </x:c>
    </x:row>
    <x:row r="81" ht="24" customHeight="1">
      <x:c r="A81" s="8" t="str">
        <x:v>vm-076</x:v>
      </x:c>
      <x:c r="B81" s="8" t="str">
        <x:v>vm</x:v>
      </x:c>
      <x:c r="C81" s="8" t="str">
        <x:v>development</x:v>
      </x:c>
      <x:c r="D81" s="8" t="str">
        <x:v>Noida</x:v>
      </x:c>
      <x:c r="E81" s="8" t="str">
        <x:v>amd-cpu-2</x:v>
      </x:c>
      <x:c r="F81" s="12" t="n">
        <x:v>2154</x:v>
      </x:c>
      <x:c r="G81" s="8" t="str">
        <x:v>published_list_price</x:v>
      </x:c>
    </x:row>
    <x:row r="82" ht="24" customHeight="1">
      <x:c r="A82" s="5" t="str">
        <x:v>vm-077</x:v>
      </x:c>
      <x:c r="B82" s="5" t="str">
        <x:v>vm</x:v>
      </x:c>
      <x:c r="C82" s="5" t="str">
        <x:v>development</x:v>
      </x:c>
      <x:c r="D82" s="5" t="str">
        <x:v>Bangalore</x:v>
      </x:c>
      <x:c r="E82" s="5" t="str">
        <x:v>amd-basic-2</x:v>
      </x:c>
      <x:c r="F82" s="11" t="n">
        <x:v>1410</x:v>
      </x:c>
      <x:c r="G82" s="5" t="str">
        <x:v>published_list_price</x:v>
      </x:c>
    </x:row>
    <x:row r="83" ht="24" customHeight="1">
      <x:c r="A83" s="8" t="str">
        <x:v>vm-078</x:v>
      </x:c>
      <x:c r="B83" s="8" t="str">
        <x:v>vm</x:v>
      </x:c>
      <x:c r="C83" s="8" t="str">
        <x:v>development</x:v>
      </x:c>
      <x:c r="D83" s="8" t="str">
        <x:v>Mumbai</x:v>
      </x:c>
      <x:c r="E83" s="8" t="str">
        <x:v>intel-basic-4</x:v>
      </x:c>
      <x:c r="F83" s="12" t="n">
        <x:v>7195</x:v>
      </x:c>
      <x:c r="G83" s="8" t="str">
        <x:v>published_list_price</x:v>
      </x:c>
    </x:row>
    <x:row r="84" ht="24" customHeight="1">
      <x:c r="A84" s="5" t="str">
        <x:v>vm-079</x:v>
      </x:c>
      <x:c r="B84" s="5" t="str">
        <x:v>vm</x:v>
      </x:c>
      <x:c r="C84" s="5" t="str">
        <x:v>staging</x:v>
      </x:c>
      <x:c r="D84" s="5" t="str">
        <x:v>Noida</x:v>
      </x:c>
      <x:c r="E84" s="5" t="str">
        <x:v>intel-basic-2</x:v>
      </x:c>
      <x:c r="F84" s="11" t="n">
        <x:v>2875</x:v>
      </x:c>
      <x:c r="G84" s="5" t="str">
        <x:v>published_list_price</x:v>
      </x:c>
    </x:row>
    <x:row r="85" ht="24" customHeight="1">
      <x:c r="A85" s="8" t="str">
        <x:v>vm-080</x:v>
      </x:c>
      <x:c r="B85" s="8" t="str">
        <x:v>vm</x:v>
      </x:c>
      <x:c r="C85" s="8" t="str">
        <x:v>staging</x:v>
      </x:c>
      <x:c r="D85" s="8" t="str">
        <x:v>Bangalore</x:v>
      </x:c>
      <x:c r="E85" s="8" t="str">
        <x:v>intel-cpu-5</x:v>
      </x:c>
      <x:c r="F85" s="12" t="n">
        <x:v>19080</x:v>
      </x:c>
      <x:c r="G85" s="8" t="str">
        <x:v>published_list_price</x:v>
      </x:c>
    </x:row>
    <x:row r="86" ht="24" customHeight="1">
      <x:c r="A86" s="5" t="str">
        <x:v>vm-081</x:v>
      </x:c>
      <x:c r="B86" s="5" t="str">
        <x:v>vm</x:v>
      </x:c>
      <x:c r="C86" s="5" t="str">
        <x:v>production</x:v>
      </x:c>
      <x:c r="D86" s="5" t="str">
        <x:v>Bangalore</x:v>
      </x:c>
      <x:c r="E86" s="5" t="str">
        <x:v>amd-basic-8</x:v>
      </x:c>
      <x:c r="F86" s="11" t="n">
        <x:v>6690</x:v>
      </x:c>
      <x:c r="G86" s="5" t="str">
        <x:v>published_list_price</x:v>
      </x:c>
    </x:row>
    <x:row r="87" ht="24" customHeight="1">
      <x:c r="A87" s="8" t="str">
        <x:v>vm-082</x:v>
      </x:c>
      <x:c r="B87" s="8" t="str">
        <x:v>vm</x:v>
      </x:c>
      <x:c r="C87" s="8" t="str">
        <x:v>staging</x:v>
      </x:c>
      <x:c r="D87" s="8" t="str">
        <x:v>Bangalore</x:v>
      </x:c>
      <x:c r="E87" s="8" t="str">
        <x:v>amd-memory-1</x:v>
      </x:c>
      <x:c r="F87" s="12" t="n">
        <x:v>1338</x:v>
      </x:c>
      <x:c r="G87" s="8" t="str">
        <x:v>published_list_price</x:v>
      </x:c>
    </x:row>
    <x:row r="88" ht="24" customHeight="1">
      <x:c r="A88" s="5" t="str">
        <x:v>vm-083</x:v>
      </x:c>
      <x:c r="B88" s="5" t="str">
        <x:v>vm</x:v>
      </x:c>
      <x:c r="C88" s="5" t="str">
        <x:v>development</x:v>
      </x:c>
      <x:c r="D88" s="5" t="str">
        <x:v>Bangalore</x:v>
      </x:c>
      <x:c r="E88" s="5" t="str">
        <x:v>amd-cpu-1</x:v>
      </x:c>
      <x:c r="F88" s="11" t="n">
        <x:v>1794</x:v>
      </x:c>
      <x:c r="G88" s="5" t="str">
        <x:v>published_list_price</x:v>
      </x:c>
    </x:row>
    <x:row r="89" ht="24" customHeight="1">
      <x:c r="A89" s="8" t="str">
        <x:v>vm-084</x:v>
      </x:c>
      <x:c r="B89" s="8" t="str">
        <x:v>vm</x:v>
      </x:c>
      <x:c r="C89" s="8" t="str">
        <x:v>development</x:v>
      </x:c>
      <x:c r="D89" s="8" t="str">
        <x:v>Noida</x:v>
      </x:c>
      <x:c r="E89" s="8" t="str">
        <x:v>amd-basic-6</x:v>
      </x:c>
      <x:c r="F89" s="12" t="n">
        <x:v>3978</x:v>
      </x:c>
      <x:c r="G89" s="8" t="str">
        <x:v>published_list_price</x:v>
      </x:c>
    </x:row>
    <x:row r="90" ht="24" customHeight="1">
      <x:c r="A90" s="5" t="str">
        <x:v>vm-085</x:v>
      </x:c>
      <x:c r="B90" s="5" t="str">
        <x:v>vm</x:v>
      </x:c>
      <x:c r="C90" s="5" t="str">
        <x:v>production</x:v>
      </x:c>
      <x:c r="D90" s="5" t="str">
        <x:v>Mumbai</x:v>
      </x:c>
      <x:c r="E90" s="5" t="str">
        <x:v>intel-cpu-3</x:v>
      </x:c>
      <x:c r="F90" s="11" t="n">
        <x:v>6091</x:v>
      </x:c>
      <x:c r="G90" s="5" t="str">
        <x:v>published_list_price</x:v>
      </x:c>
    </x:row>
    <x:row r="91" ht="24" customHeight="1">
      <x:c r="A91" s="8" t="str">
        <x:v>vm-086</x:v>
      </x:c>
      <x:c r="B91" s="8" t="str">
        <x:v>vm</x:v>
      </x:c>
      <x:c r="C91" s="8" t="str">
        <x:v>staging</x:v>
      </x:c>
      <x:c r="D91" s="8" t="str">
        <x:v>Mumbai</x:v>
      </x:c>
      <x:c r="E91" s="8" t="str">
        <x:v>amd-memory-5</x:v>
      </x:c>
      <x:c r="F91" s="12" t="n">
        <x:v>21594</x:v>
      </x:c>
      <x:c r="G91" s="8" t="str">
        <x:v>published_list_price</x:v>
      </x:c>
    </x:row>
    <x:row r="92" ht="24" customHeight="1">
      <x:c r="A92" s="5" t="str">
        <x:v>vm-087</x:v>
      </x:c>
      <x:c r="B92" s="5" t="str">
        <x:v>vm</x:v>
      </x:c>
      <x:c r="C92" s="5" t="str">
        <x:v>production</x:v>
      </x:c>
      <x:c r="D92" s="5" t="str">
        <x:v>Noida</x:v>
      </x:c>
      <x:c r="E92" s="5" t="str">
        <x:v>amd-basic-3</x:v>
      </x:c>
      <x:c r="F92" s="11" t="n">
        <x:v>2034</x:v>
      </x:c>
      <x:c r="G92" s="5" t="str">
        <x:v>published_list_price</x:v>
      </x:c>
    </x:row>
    <x:row r="93" ht="24" customHeight="1">
      <x:c r="A93" s="8" t="str">
        <x:v>vm-088</x:v>
      </x:c>
      <x:c r="B93" s="8" t="str">
        <x:v>vm</x:v>
      </x:c>
      <x:c r="C93" s="8" t="str">
        <x:v>development</x:v>
      </x:c>
      <x:c r="D93" s="8" t="str">
        <x:v>Bangalore</x:v>
      </x:c>
      <x:c r="E93" s="8" t="str">
        <x:v>amd-basic-2</x:v>
      </x:c>
      <x:c r="F93" s="12" t="n">
        <x:v>1410</x:v>
      </x:c>
      <x:c r="G93" s="8" t="str">
        <x:v>published_list_price</x:v>
      </x:c>
    </x:row>
    <x:row r="94" ht="24" customHeight="1">
      <x:c r="A94" s="5" t="str">
        <x:v>vm-089</x:v>
      </x:c>
      <x:c r="B94" s="5" t="str">
        <x:v>vm</x:v>
      </x:c>
      <x:c r="C94" s="5" t="str">
        <x:v>production</x:v>
      </x:c>
      <x:c r="D94" s="5" t="str">
        <x:v>Bangalore</x:v>
      </x:c>
      <x:c r="E94" s="5" t="str">
        <x:v>intel-cpu-3</x:v>
      </x:c>
      <x:c r="F94" s="11" t="n">
        <x:v>6091</x:v>
      </x:c>
      <x:c r="G94" s="5" t="str">
        <x:v>published_list_price</x:v>
      </x:c>
    </x:row>
    <x:row r="95" ht="24" customHeight="1">
      <x:c r="A95" s="8" t="str">
        <x:v>vm-090</x:v>
      </x:c>
      <x:c r="B95" s="8" t="str">
        <x:v>vm</x:v>
      </x:c>
      <x:c r="C95" s="8" t="str">
        <x:v>staging</x:v>
      </x:c>
      <x:c r="D95" s="8" t="str">
        <x:v>Mumbai</x:v>
      </x:c>
      <x:c r="E95" s="8" t="str">
        <x:v>amd-memory-1</x:v>
      </x:c>
      <x:c r="F95" s="12" t="n">
        <x:v>1338</x:v>
      </x:c>
      <x:c r="G95" s="8" t="str">
        <x:v>published_list_price</x:v>
      </x:c>
    </x:row>
    <x:row r="96" ht="24" customHeight="1">
      <x:c r="A96" s="5" t="str">
        <x:v>vm-091</x:v>
      </x:c>
      <x:c r="B96" s="5" t="str">
        <x:v>vm</x:v>
      </x:c>
      <x:c r="C96" s="5" t="str">
        <x:v>production</x:v>
      </x:c>
      <x:c r="D96" s="5" t="str">
        <x:v>Bangalore</x:v>
      </x:c>
      <x:c r="E96" s="5" t="str">
        <x:v>amd-cpu-1</x:v>
      </x:c>
      <x:c r="F96" s="11" t="n">
        <x:v>1794</x:v>
      </x:c>
      <x:c r="G96" s="5" t="str">
        <x:v>published_list_price</x:v>
      </x:c>
    </x:row>
    <x:row r="97" ht="24" customHeight="1">
      <x:c r="A97" s="8" t="str">
        <x:v>vm-092</x:v>
      </x:c>
      <x:c r="B97" s="8" t="str">
        <x:v>vm</x:v>
      </x:c>
      <x:c r="C97" s="8" t="str">
        <x:v>production</x:v>
      </x:c>
      <x:c r="D97" s="8" t="str">
        <x:v>Mumbai</x:v>
      </x:c>
      <x:c r="E97" s="8" t="str">
        <x:v>intel-basic-4</x:v>
      </x:c>
      <x:c r="F97" s="12" t="n">
        <x:v>7195</x:v>
      </x:c>
      <x:c r="G97" s="8" t="str">
        <x:v>published_list_price</x:v>
      </x:c>
    </x:row>
    <x:row r="98" ht="24" customHeight="1">
      <x:c r="A98" s="5" t="str">
        <x:v>vm-093</x:v>
      </x:c>
      <x:c r="B98" s="5" t="str">
        <x:v>vm</x:v>
      </x:c>
      <x:c r="C98" s="5" t="str">
        <x:v>development</x:v>
      </x:c>
      <x:c r="D98" s="5" t="str">
        <x:v>Bangalore</x:v>
      </x:c>
      <x:c r="E98" s="5" t="str">
        <x:v>intel-cpu-5</x:v>
      </x:c>
      <x:c r="F98" s="11" t="n">
        <x:v>19080</x:v>
      </x:c>
      <x:c r="G98" s="5" t="str">
        <x:v>published_list_price</x:v>
      </x:c>
    </x:row>
    <x:row r="99" ht="24" customHeight="1">
      <x:c r="A99" s="8" t="str">
        <x:v>vm-094</x:v>
      </x:c>
      <x:c r="B99" s="8" t="str">
        <x:v>vm</x:v>
      </x:c>
      <x:c r="C99" s="8" t="str">
        <x:v>production</x:v>
      </x:c>
      <x:c r="D99" s="8" t="str">
        <x:v>Bangalore</x:v>
      </x:c>
      <x:c r="E99" s="8" t="str">
        <x:v>intel-basic-5</x:v>
      </x:c>
      <x:c r="F99" s="12" t="n">
        <x:v>12475</x:v>
      </x:c>
      <x:c r="G99" s="8" t="str">
        <x:v>published_list_price</x:v>
      </x:c>
    </x:row>
    <x:row r="100" ht="24" customHeight="1">
      <x:c r="A100" s="5" t="str">
        <x:v>vm-095</x:v>
      </x:c>
      <x:c r="B100" s="5" t="str">
        <x:v>vm</x:v>
      </x:c>
      <x:c r="C100" s="5" t="str">
        <x:v>development</x:v>
      </x:c>
      <x:c r="D100" s="5" t="str">
        <x:v>Noida</x:v>
      </x:c>
      <x:c r="E100" s="5" t="str">
        <x:v>intel-cpu-1</x:v>
      </x:c>
      <x:c r="F100" s="11" t="n">
        <x:v>2203</x:v>
      </x:c>
      <x:c r="G100" s="5" t="str">
        <x:v>published_list_price</x:v>
      </x:c>
    </x:row>
    <x:row r="101" ht="24" customHeight="1">
      <x:c r="A101" s="8" t="str">
        <x:v>vm-096</x:v>
      </x:c>
      <x:c r="B101" s="8" t="str">
        <x:v>vm</x:v>
      </x:c>
      <x:c r="C101" s="8" t="str">
        <x:v>staging</x:v>
      </x:c>
      <x:c r="D101" s="8" t="str">
        <x:v>Mumbai</x:v>
      </x:c>
      <x:c r="E101" s="8" t="str">
        <x:v>intel-cpu-3</x:v>
      </x:c>
      <x:c r="F101" s="12" t="n">
        <x:v>6091</x:v>
      </x:c>
      <x:c r="G101" s="8" t="str">
        <x:v>published_list_price</x:v>
      </x:c>
    </x:row>
    <x:row r="102" ht="24" customHeight="1">
      <x:c r="A102" s="5" t="str">
        <x:v>vm-097</x:v>
      </x:c>
      <x:c r="B102" s="5" t="str">
        <x:v>vm</x:v>
      </x:c>
      <x:c r="C102" s="5" t="str">
        <x:v>staging</x:v>
      </x:c>
      <x:c r="D102" s="5" t="str">
        <x:v>Noida</x:v>
      </x:c>
      <x:c r="E102" s="5" t="str">
        <x:v>amd-basic-1</x:v>
      </x:c>
      <x:c r="F102" s="11" t="n">
        <x:v>1194</x:v>
      </x:c>
      <x:c r="G102" s="5" t="str">
        <x:v>published_list_price</x:v>
      </x:c>
    </x:row>
    <x:row r="103" ht="24" customHeight="1">
      <x:c r="A103" s="8" t="str">
        <x:v>vm-098</x:v>
      </x:c>
      <x:c r="B103" s="8" t="str">
        <x:v>vm</x:v>
      </x:c>
      <x:c r="C103" s="8" t="str">
        <x:v>production</x:v>
      </x:c>
      <x:c r="D103" s="8" t="str">
        <x:v>Bangalore</x:v>
      </x:c>
      <x:c r="E103" s="8" t="str">
        <x:v>intel-cpu-4</x:v>
      </x:c>
      <x:c r="F103" s="12" t="n">
        <x:v>12475</x:v>
      </x:c>
      <x:c r="G103" s="8" t="str">
        <x:v>published_list_price</x:v>
      </x:c>
    </x:row>
    <x:row r="104" ht="24" customHeight="1">
      <x:c r="A104" s="5" t="str">
        <x:v>vm-099</x:v>
      </x:c>
      <x:c r="B104" s="5" t="str">
        <x:v>vm</x:v>
      </x:c>
      <x:c r="C104" s="5" t="str">
        <x:v>production</x:v>
      </x:c>
      <x:c r="D104" s="5" t="str">
        <x:v>Noida</x:v>
      </x:c>
      <x:c r="E104" s="5" t="str">
        <x:v>amd-memory-2</x:v>
      </x:c>
      <x:c r="F104" s="11" t="n">
        <x:v>2652</x:v>
      </x:c>
      <x:c r="G104" s="5" t="str">
        <x:v>published_list_price</x:v>
      </x:c>
    </x:row>
    <x:row r="105" ht="24" customHeight="1">
      <x:c r="A105" s="8" t="str">
        <x:v>vm-100</x:v>
      </x:c>
      <x:c r="B105" s="8" t="str">
        <x:v>vm</x:v>
      </x:c>
      <x:c r="C105" s="8" t="str">
        <x:v>development</x:v>
      </x:c>
      <x:c r="D105" s="8" t="str">
        <x:v>Bangalore</x:v>
      </x:c>
      <x:c r="E105" s="8" t="str">
        <x:v>amd-cpu-5</x:v>
      </x:c>
      <x:c r="F105" s="12" t="n">
        <x:v>4746</x:v>
      </x:c>
      <x:c r="G105" s="8" t="str">
        <x:v>published_list_price</x:v>
      </x:c>
    </x:row>
    <x:row r="106" ht="24" customHeight="1">
      <x:c r="A106" s="5" t="str">
        <x:v>vm-101</x:v>
      </x:c>
      <x:c r="B106" s="5" t="str">
        <x:v>vm</x:v>
      </x:c>
      <x:c r="C106" s="5" t="str">
        <x:v>production</x:v>
      </x:c>
      <x:c r="D106" s="5" t="str">
        <x:v>Mumbai</x:v>
      </x:c>
      <x:c r="E106" s="5" t="str">
        <x:v>amd-memory-2</x:v>
      </x:c>
      <x:c r="F106" s="11" t="n">
        <x:v>2652</x:v>
      </x:c>
      <x:c r="G106" s="5" t="str">
        <x:v>published_list_price</x:v>
      </x:c>
    </x:row>
    <x:row r="107" ht="24" customHeight="1">
      <x:c r="A107" s="8" t="str">
        <x:v>vm-102</x:v>
      </x:c>
      <x:c r="B107" s="8" t="str">
        <x:v>vm</x:v>
      </x:c>
      <x:c r="C107" s="8" t="str">
        <x:v>development</x:v>
      </x:c>
      <x:c r="D107" s="8" t="str">
        <x:v>Mumbai</x:v>
      </x:c>
      <x:c r="E107" s="8" t="str">
        <x:v>intel-cpu-3</x:v>
      </x:c>
      <x:c r="F107" s="12" t="n">
        <x:v>6091</x:v>
      </x:c>
      <x:c r="G107" s="8" t="str">
        <x:v>published_list_price</x:v>
      </x:c>
    </x:row>
    <x:row r="108" ht="24" customHeight="1">
      <x:c r="A108" s="5" t="str">
        <x:v>vm-103</x:v>
      </x:c>
      <x:c r="B108" s="5" t="str">
        <x:v>vm</x:v>
      </x:c>
      <x:c r="C108" s="5" t="str">
        <x:v>production</x:v>
      </x:c>
      <x:c r="D108" s="5" t="str">
        <x:v>Noida</x:v>
      </x:c>
      <x:c r="E108" s="5" t="str">
        <x:v>amd-cpu-7</x:v>
      </x:c>
      <x:c r="F108" s="11" t="n">
        <x:v>7146</x:v>
      </x:c>
      <x:c r="G108" s="5" t="str">
        <x:v>published_list_price</x:v>
      </x:c>
    </x:row>
    <x:row r="109" ht="24" customHeight="1">
      <x:c r="A109" s="8" t="str">
        <x:v>vm-104</x:v>
      </x:c>
      <x:c r="B109" s="8" t="str">
        <x:v>vm</x:v>
      </x:c>
      <x:c r="C109" s="8" t="str">
        <x:v>development</x:v>
      </x:c>
      <x:c r="D109" s="8" t="str">
        <x:v>Bangalore</x:v>
      </x:c>
      <x:c r="E109" s="8" t="str">
        <x:v>amd-basic-2</x:v>
      </x:c>
      <x:c r="F109" s="12" t="n">
        <x:v>1410</x:v>
      </x:c>
      <x:c r="G109" s="8" t="str">
        <x:v>published_list_price</x:v>
      </x:c>
    </x:row>
    <x:row r="110" ht="24" customHeight="1">
      <x:c r="A110" s="5" t="str">
        <x:v>vm-105</x:v>
      </x:c>
      <x:c r="B110" s="5" t="str">
        <x:v>vm</x:v>
      </x:c>
      <x:c r="C110" s="5" t="str">
        <x:v>development</x:v>
      </x:c>
      <x:c r="D110" s="5" t="str">
        <x:v>Mumbai</x:v>
      </x:c>
      <x:c r="E110" s="5" t="str">
        <x:v>amd-memory-2</x:v>
      </x:c>
      <x:c r="F110" s="11" t="n">
        <x:v>2652</x:v>
      </x:c>
      <x:c r="G110" s="5" t="str">
        <x:v>published_list_price</x:v>
      </x:c>
    </x:row>
    <x:row r="111" ht="24" customHeight="1">
      <x:c r="A111" s="8" t="str">
        <x:v>vm-106</x:v>
      </x:c>
      <x:c r="B111" s="8" t="str">
        <x:v>vm</x:v>
      </x:c>
      <x:c r="C111" s="8" t="str">
        <x:v>staging</x:v>
      </x:c>
      <x:c r="D111" s="8" t="str">
        <x:v>Noida</x:v>
      </x:c>
      <x:c r="E111" s="8" t="str">
        <x:v>intel-memory-1</x:v>
      </x:c>
      <x:c r="F111" s="12" t="n">
        <x:v>1531</x:v>
      </x:c>
      <x:c r="G111" s="8" t="str">
        <x:v>published_list_price</x:v>
      </x:c>
    </x:row>
    <x:row r="112" ht="24" customHeight="1">
      <x:c r="A112" s="5" t="str">
        <x:v>vm-107</x:v>
      </x:c>
      <x:c r="B112" s="5" t="str">
        <x:v>vm</x:v>
      </x:c>
      <x:c r="C112" s="5" t="str">
        <x:v>production</x:v>
      </x:c>
      <x:c r="D112" s="5" t="str">
        <x:v>Bangalore</x:v>
      </x:c>
      <x:c r="E112" s="5" t="str">
        <x:v>amd-basic-9</x:v>
      </x:c>
      <x:c r="F112" s="11" t="n">
        <x:v>12522</x:v>
      </x:c>
      <x:c r="G112" s="5" t="str">
        <x:v>published_list_price</x:v>
      </x:c>
    </x:row>
    <x:row r="113" ht="24" customHeight="1">
      <x:c r="A113" s="8" t="str">
        <x:v>vm-108</x:v>
      </x:c>
      <x:c r="B113" s="8" t="str">
        <x:v>vm</x:v>
      </x:c>
      <x:c r="C113" s="8" t="str">
        <x:v>production</x:v>
      </x:c>
      <x:c r="D113" s="8" t="str">
        <x:v>Mumbai</x:v>
      </x:c>
      <x:c r="E113" s="8" t="str">
        <x:v>intel-cpu-2</x:v>
      </x:c>
      <x:c r="F113" s="12" t="n">
        <x:v>4411</x:v>
      </x:c>
      <x:c r="G113" s="8" t="str">
        <x:v>published_list_price</x:v>
      </x:c>
    </x:row>
    <x:row r="114" ht="24" customHeight="1">
      <x:c r="A114" s="5" t="str">
        <x:v>vm-109</x:v>
      </x:c>
      <x:c r="B114" s="5" t="str">
        <x:v>vm</x:v>
      </x:c>
      <x:c r="C114" s="5" t="str">
        <x:v>development</x:v>
      </x:c>
      <x:c r="D114" s="5" t="str">
        <x:v>Noida</x:v>
      </x:c>
      <x:c r="E114" s="5" t="str">
        <x:v>intel-basic-1</x:v>
      </x:c>
      <x:c r="F114" s="11" t="n">
        <x:v>1435</x:v>
      </x:c>
      <x:c r="G114" s="5" t="str">
        <x:v>published_list_price</x:v>
      </x:c>
    </x:row>
    <x:row r="115" ht="24" customHeight="1">
      <x:c r="A115" s="8" t="str">
        <x:v>vm-110</x:v>
      </x:c>
      <x:c r="B115" s="8" t="str">
        <x:v>vm</x:v>
      </x:c>
      <x:c r="C115" s="8" t="str">
        <x:v>production</x:v>
      </x:c>
      <x:c r="D115" s="8" t="str">
        <x:v>Bangalore</x:v>
      </x:c>
      <x:c r="E115" s="8" t="str">
        <x:v>amd-basic-5</x:v>
      </x:c>
      <x:c r="F115" s="12" t="n">
        <x:v>3594</x:v>
      </x:c>
      <x:c r="G115" s="8" t="str">
        <x:v>published_list_price</x:v>
      </x:c>
    </x:row>
    <x:row r="116" ht="24" customHeight="1">
      <x:c r="A116" s="5" t="str">
        <x:v>vm-111</x:v>
      </x:c>
      <x:c r="B116" s="5" t="str">
        <x:v>vm</x:v>
      </x:c>
      <x:c r="C116" s="5" t="str">
        <x:v>production</x:v>
      </x:c>
      <x:c r="D116" s="5" t="str">
        <x:v>Noida</x:v>
      </x:c>
      <x:c r="E116" s="5" t="str">
        <x:v>intel-basic-4</x:v>
      </x:c>
      <x:c r="F116" s="11" t="n">
        <x:v>7195</x:v>
      </x:c>
      <x:c r="G116" s="5" t="str">
        <x:v>published_list_price</x:v>
      </x:c>
    </x:row>
    <x:row r="117" ht="24" customHeight="1">
      <x:c r="A117" s="8" t="str">
        <x:v>vm-112</x:v>
      </x:c>
      <x:c r="B117" s="8" t="str">
        <x:v>vm</x:v>
      </x:c>
      <x:c r="C117" s="8" t="str">
        <x:v>production</x:v>
      </x:c>
      <x:c r="D117" s="8" t="str">
        <x:v>Noida</x:v>
      </x:c>
      <x:c r="E117" s="8" t="str">
        <x:v>amd-basic-1</x:v>
      </x:c>
      <x:c r="F117" s="12" t="n">
        <x:v>1194</x:v>
      </x:c>
      <x:c r="G117" s="8" t="str">
        <x:v>published_list_price</x:v>
      </x:c>
    </x:row>
    <x:row r="118" ht="24" customHeight="1">
      <x:c r="A118" s="5" t="str">
        <x:v>vm-113</x:v>
      </x:c>
      <x:c r="B118" s="5" t="str">
        <x:v>vm</x:v>
      </x:c>
      <x:c r="C118" s="5" t="str">
        <x:v>development</x:v>
      </x:c>
      <x:c r="D118" s="5" t="str">
        <x:v>Noida</x:v>
      </x:c>
      <x:c r="E118" s="5" t="str">
        <x:v>amd-basic-5</x:v>
      </x:c>
      <x:c r="F118" s="11" t="n">
        <x:v>3594</x:v>
      </x:c>
      <x:c r="G118" s="5" t="str">
        <x:v>published_list_price</x:v>
      </x:c>
    </x:row>
    <x:row r="119" ht="24" customHeight="1">
      <x:c r="A119" s="8" t="str">
        <x:v>vm-114</x:v>
      </x:c>
      <x:c r="B119" s="8" t="str">
        <x:v>vm</x:v>
      </x:c>
      <x:c r="C119" s="8" t="str">
        <x:v>development</x:v>
      </x:c>
      <x:c r="D119" s="8" t="str">
        <x:v>Bangalore</x:v>
      </x:c>
      <x:c r="E119" s="8" t="str">
        <x:v>amd-cpu-2</x:v>
      </x:c>
      <x:c r="F119" s="12" t="n">
        <x:v>2154</x:v>
      </x:c>
      <x:c r="G119" s="8" t="str">
        <x:v>published_list_price</x:v>
      </x:c>
    </x:row>
    <x:row r="120" ht="24" customHeight="1">
      <x:c r="A120" s="5" t="str">
        <x:v>vm-115</x:v>
      </x:c>
      <x:c r="B120" s="5" t="str">
        <x:v>vm</x:v>
      </x:c>
      <x:c r="C120" s="5" t="str">
        <x:v>development</x:v>
      </x:c>
      <x:c r="D120" s="5" t="str">
        <x:v>Bangalore</x:v>
      </x:c>
      <x:c r="E120" s="5" t="str">
        <x:v>amd-basic-8</x:v>
      </x:c>
      <x:c r="F120" s="11" t="n">
        <x:v>6690</x:v>
      </x:c>
      <x:c r="G120" s="5" t="str">
        <x:v>published_list_price</x:v>
      </x:c>
    </x:row>
    <x:row r="121" ht="24" customHeight="1">
      <x:c r="A121" s="8" t="str">
        <x:v>vm-116</x:v>
      </x:c>
      <x:c r="B121" s="8" t="str">
        <x:v>vm</x:v>
      </x:c>
      <x:c r="C121" s="8" t="str">
        <x:v>production</x:v>
      </x:c>
      <x:c r="D121" s="8" t="str">
        <x:v>Mumbai</x:v>
      </x:c>
      <x:c r="E121" s="8" t="str">
        <x:v>amd-memory-3</x:v>
      </x:c>
      <x:c r="F121" s="12" t="n">
        <x:v>5304</x:v>
      </x:c>
      <x:c r="G121" s="8" t="str">
        <x:v>published_list_price</x:v>
      </x:c>
    </x:row>
    <x:row r="122" ht="24" customHeight="1">
      <x:c r="A122" s="5" t="str">
        <x:v>vm-117</x:v>
      </x:c>
      <x:c r="B122" s="5" t="str">
        <x:v>vm</x:v>
      </x:c>
      <x:c r="C122" s="5" t="str">
        <x:v>development</x:v>
      </x:c>
      <x:c r="D122" s="5" t="str">
        <x:v>Bangalore</x:v>
      </x:c>
      <x:c r="E122" s="5" t="str">
        <x:v>amd-cpu-3</x:v>
      </x:c>
      <x:c r="F122" s="11" t="n">
        <x:v>2370</x:v>
      </x:c>
      <x:c r="G122" s="5" t="str">
        <x:v>published_list_price</x:v>
      </x:c>
    </x:row>
    <x:row r="123" ht="24" customHeight="1">
      <x:c r="A123" s="8" t="str">
        <x:v>vm-118</x:v>
      </x:c>
      <x:c r="B123" s="8" t="str">
        <x:v>vm</x:v>
      </x:c>
      <x:c r="C123" s="8" t="str">
        <x:v>development</x:v>
      </x:c>
      <x:c r="D123" s="8" t="str">
        <x:v>Noida</x:v>
      </x:c>
      <x:c r="E123" s="8" t="str">
        <x:v>amd-basic-3</x:v>
      </x:c>
      <x:c r="F123" s="12" t="n">
        <x:v>2034</x:v>
      </x:c>
      <x:c r="G123" s="8" t="str">
        <x:v>published_list_price</x:v>
      </x:c>
    </x:row>
    <x:row r="124" ht="24" customHeight="1">
      <x:c r="A124" s="5" t="str">
        <x:v>vm-119</x:v>
      </x:c>
      <x:c r="B124" s="5" t="str">
        <x:v>vm</x:v>
      </x:c>
      <x:c r="C124" s="5" t="str">
        <x:v>development</x:v>
      </x:c>
      <x:c r="D124" s="5" t="str">
        <x:v>Bangalore</x:v>
      </x:c>
      <x:c r="E124" s="5" t="str">
        <x:v>intel-cpu-2</x:v>
      </x:c>
      <x:c r="F124" s="11" t="n">
        <x:v>4411</x:v>
      </x:c>
      <x:c r="G124" s="5" t="str">
        <x:v>published_list_price</x:v>
      </x:c>
    </x:row>
    <x:row r="125" ht="24" customHeight="1">
      <x:c r="A125" s="8" t="str">
        <x:v>vm-120</x:v>
      </x:c>
      <x:c r="B125" s="8" t="str">
        <x:v>vm</x:v>
      </x:c>
      <x:c r="C125" s="8" t="str">
        <x:v>development</x:v>
      </x:c>
      <x:c r="D125" s="8" t="str">
        <x:v>Noida</x:v>
      </x:c>
      <x:c r="E125" s="8" t="str">
        <x:v>intel-memory-2</x:v>
      </x:c>
      <x:c r="F125" s="12" t="n">
        <x:v>2736</x:v>
      </x:c>
      <x:c r="G125" s="8" t="str">
        <x:v>published_list_price</x:v>
      </x:c>
    </x:row>
    <x:row r="126" ht="24" customHeight="1">
      <x:c r="A126" s="5" t="str">
        <x:v>vm-121</x:v>
      </x:c>
      <x:c r="B126" s="5" t="str">
        <x:v>vm</x:v>
      </x:c>
      <x:c r="C126" s="5" t="str">
        <x:v>development</x:v>
      </x:c>
      <x:c r="D126" s="5" t="str">
        <x:v>Bangalore</x:v>
      </x:c>
      <x:c r="E126" s="5" t="str">
        <x:v>intel-cpu-5</x:v>
      </x:c>
      <x:c r="F126" s="11" t="n">
        <x:v>19080</x:v>
      </x:c>
      <x:c r="G126" s="5" t="str">
        <x:v>published_list_price</x:v>
      </x:c>
    </x:row>
    <x:row r="127" ht="24" customHeight="1">
      <x:c r="A127" s="8" t="str">
        <x:v>vm-122</x:v>
      </x:c>
      <x:c r="B127" s="8" t="str">
        <x:v>vm</x:v>
      </x:c>
      <x:c r="C127" s="8" t="str">
        <x:v>production</x:v>
      </x:c>
      <x:c r="D127" s="8" t="str">
        <x:v>Bangalore</x:v>
      </x:c>
      <x:c r="E127" s="8" t="str">
        <x:v>amd-basic-5</x:v>
      </x:c>
      <x:c r="F127" s="12" t="n">
        <x:v>3594</x:v>
      </x:c>
      <x:c r="G127" s="8" t="str">
        <x:v>published_list_price</x:v>
      </x:c>
    </x:row>
    <x:row r="128" ht="24" customHeight="1">
      <x:c r="A128" s="5" t="str">
        <x:v>vm-123</x:v>
      </x:c>
      <x:c r="B128" s="5" t="str">
        <x:v>vm</x:v>
      </x:c>
      <x:c r="C128" s="5" t="str">
        <x:v>staging</x:v>
      </x:c>
      <x:c r="D128" s="5" t="str">
        <x:v>Mumbai</x:v>
      </x:c>
      <x:c r="E128" s="5" t="str">
        <x:v>amd-memory-3</x:v>
      </x:c>
      <x:c r="F128" s="11" t="n">
        <x:v>5304</x:v>
      </x:c>
      <x:c r="G128" s="5" t="str">
        <x:v>published_list_price</x:v>
      </x:c>
    </x:row>
    <x:row r="129" ht="24" customHeight="1">
      <x:c r="A129" s="8" t="str">
        <x:v>vm-124</x:v>
      </x:c>
      <x:c r="B129" s="8" t="str">
        <x:v>vm</x:v>
      </x:c>
      <x:c r="C129" s="8" t="str">
        <x:v>staging</x:v>
      </x:c>
      <x:c r="D129" s="8" t="str">
        <x:v>Noida</x:v>
      </x:c>
      <x:c r="E129" s="8" t="str">
        <x:v>amd-basic-3</x:v>
      </x:c>
      <x:c r="F129" s="12" t="n">
        <x:v>2034</x:v>
      </x:c>
      <x:c r="G129" s="8" t="str">
        <x:v>published_list_price</x:v>
      </x:c>
    </x:row>
    <x:row r="130" ht="24" customHeight="1">
      <x:c r="A130" s="5" t="str">
        <x:v>vm-125</x:v>
      </x:c>
      <x:c r="B130" s="5" t="str">
        <x:v>vm</x:v>
      </x:c>
      <x:c r="C130" s="5" t="str">
        <x:v>staging</x:v>
      </x:c>
      <x:c r="D130" s="5" t="str">
        <x:v>Noida</x:v>
      </x:c>
      <x:c r="E130" s="5" t="str">
        <x:v>intel-cpu-4</x:v>
      </x:c>
      <x:c r="F130" s="11" t="n">
        <x:v>12475</x:v>
      </x:c>
      <x:c r="G130" s="5" t="str">
        <x:v>published_list_price</x:v>
      </x:c>
    </x:row>
    <x:row r="131" ht="24" customHeight="1">
      <x:c r="A131" s="8" t="str">
        <x:v>vm-126</x:v>
      </x:c>
      <x:c r="B131" s="8" t="str">
        <x:v>vm</x:v>
      </x:c>
      <x:c r="C131" s="8" t="str">
        <x:v>development</x:v>
      </x:c>
      <x:c r="D131" s="8" t="str">
        <x:v>Mumbai</x:v>
      </x:c>
      <x:c r="E131" s="8" t="str">
        <x:v>amd-basic-1</x:v>
      </x:c>
      <x:c r="F131" s="12" t="n">
        <x:v>1194</x:v>
      </x:c>
      <x:c r="G131" s="8" t="str">
        <x:v>published_list_price</x:v>
      </x:c>
    </x:row>
    <x:row r="132" ht="24" customHeight="1">
      <x:c r="A132" s="5" t="str">
        <x:v>vm-127</x:v>
      </x:c>
      <x:c r="B132" s="5" t="str">
        <x:v>vm</x:v>
      </x:c>
      <x:c r="C132" s="5" t="str">
        <x:v>production</x:v>
      </x:c>
      <x:c r="D132" s="5" t="str">
        <x:v>Bangalore</x:v>
      </x:c>
      <x:c r="E132" s="5" t="str">
        <x:v>amd-basic-4</x:v>
      </x:c>
      <x:c r="F132" s="11" t="n">
        <x:v>2826</x:v>
      </x:c>
      <x:c r="G132" s="5" t="str">
        <x:v>published_list_price</x:v>
      </x:c>
    </x:row>
    <x:row r="133" ht="24" customHeight="1">
      <x:c r="A133" s="8" t="str">
        <x:v>vm-128</x:v>
      </x:c>
      <x:c r="B133" s="8" t="str">
        <x:v>vm</x:v>
      </x:c>
      <x:c r="C133" s="8" t="str">
        <x:v>development</x:v>
      </x:c>
      <x:c r="D133" s="8" t="str">
        <x:v>Bangalore</x:v>
      </x:c>
      <x:c r="E133" s="8" t="str">
        <x:v>intel-cpu-5</x:v>
      </x:c>
      <x:c r="F133" s="12" t="n">
        <x:v>19080</x:v>
      </x:c>
      <x:c r="G133" s="8" t="str">
        <x:v>published_list_price</x:v>
      </x:c>
    </x:row>
    <x:row r="134" ht="24" customHeight="1">
      <x:c r="A134" s="5" t="str">
        <x:v>vm-129</x:v>
      </x:c>
      <x:c r="B134" s="5" t="str">
        <x:v>vm</x:v>
      </x:c>
      <x:c r="C134" s="5" t="str">
        <x:v>production</x:v>
      </x:c>
      <x:c r="D134" s="5" t="str">
        <x:v>Noida</x:v>
      </x:c>
      <x:c r="E134" s="5" t="str">
        <x:v>intel-cpu-4</x:v>
      </x:c>
      <x:c r="F134" s="11" t="n">
        <x:v>12475</x:v>
      </x:c>
      <x:c r="G134" s="5" t="str">
        <x:v>published_list_price</x:v>
      </x:c>
    </x:row>
    <x:row r="135" ht="24" customHeight="1">
      <x:c r="A135" s="8" t="str">
        <x:v>vm-130</x:v>
      </x:c>
      <x:c r="B135" s="8" t="str">
        <x:v>vm</x:v>
      </x:c>
      <x:c r="C135" s="8" t="str">
        <x:v>staging</x:v>
      </x:c>
      <x:c r="D135" s="8" t="str">
        <x:v>Noida</x:v>
      </x:c>
      <x:c r="E135" s="8" t="str">
        <x:v>intel-basic-3</x:v>
      </x:c>
      <x:c r="F135" s="12" t="n">
        <x:v>4411</x:v>
      </x:c>
      <x:c r="G135" s="8" t="str">
        <x:v>published_list_price</x:v>
      </x:c>
    </x:row>
    <x:row r="136" ht="24" customHeight="1">
      <x:c r="A136" s="5" t="str">
        <x:v>vm-131</x:v>
      </x:c>
      <x:c r="B136" s="5" t="str">
        <x:v>vm</x:v>
      </x:c>
      <x:c r="C136" s="5" t="str">
        <x:v>staging</x:v>
      </x:c>
      <x:c r="D136" s="5" t="str">
        <x:v>Bangalore</x:v>
      </x:c>
      <x:c r="E136" s="5" t="str">
        <x:v>intel-memory-1</x:v>
      </x:c>
      <x:c r="F136" s="11" t="n">
        <x:v>1531</x:v>
      </x:c>
      <x:c r="G136" s="5" t="str">
        <x:v>published_list_price</x:v>
      </x:c>
    </x:row>
    <x:row r="137" ht="24" customHeight="1">
      <x:c r="A137" s="8" t="str">
        <x:v>vm-132</x:v>
      </x:c>
      <x:c r="B137" s="8" t="str">
        <x:v>vm</x:v>
      </x:c>
      <x:c r="C137" s="8" t="str">
        <x:v>development</x:v>
      </x:c>
      <x:c r="D137" s="8" t="str">
        <x:v>Mumbai</x:v>
      </x:c>
      <x:c r="E137" s="8" t="str">
        <x:v>amd-basic-6</x:v>
      </x:c>
      <x:c r="F137" s="12" t="n">
        <x:v>3978</x:v>
      </x:c>
      <x:c r="G137" s="8" t="str">
        <x:v>published_list_price</x:v>
      </x:c>
    </x:row>
    <x:row r="138" ht="24" customHeight="1">
      <x:c r="A138" s="5" t="str">
        <x:v>vm-133</x:v>
      </x:c>
      <x:c r="B138" s="5" t="str">
        <x:v>vm</x:v>
      </x:c>
      <x:c r="C138" s="5" t="str">
        <x:v>production</x:v>
      </x:c>
      <x:c r="D138" s="5" t="str">
        <x:v>Noida</x:v>
      </x:c>
      <x:c r="E138" s="5" t="str">
        <x:v>intel-basic-4</x:v>
      </x:c>
      <x:c r="F138" s="11" t="n">
        <x:v>7195</x:v>
      </x:c>
      <x:c r="G138" s="5" t="str">
        <x:v>published_list_price</x:v>
      </x:c>
    </x:row>
    <x:row r="139" ht="24" customHeight="1">
      <x:c r="A139" s="8" t="str">
        <x:v>vm-134</x:v>
      </x:c>
      <x:c r="B139" s="8" t="str">
        <x:v>vm</x:v>
      </x:c>
      <x:c r="C139" s="8" t="str">
        <x:v>staging</x:v>
      </x:c>
      <x:c r="D139" s="8" t="str">
        <x:v>Noida</x:v>
      </x:c>
      <x:c r="E139" s="8" t="str">
        <x:v>amd-cpu-2</x:v>
      </x:c>
      <x:c r="F139" s="12" t="n">
        <x:v>2154</x:v>
      </x:c>
      <x:c r="G139" s="8" t="str">
        <x:v>published_list_price</x:v>
      </x:c>
    </x:row>
    <x:row r="140" ht="24" customHeight="1">
      <x:c r="A140" s="5" t="str">
        <x:v>vm-135</x:v>
      </x:c>
      <x:c r="B140" s="5" t="str">
        <x:v>vm</x:v>
      </x:c>
      <x:c r="C140" s="5" t="str">
        <x:v>development</x:v>
      </x:c>
      <x:c r="D140" s="5" t="str">
        <x:v>Noida</x:v>
      </x:c>
      <x:c r="E140" s="5" t="str">
        <x:v>amd-cpu-1</x:v>
      </x:c>
      <x:c r="F140" s="11" t="n">
        <x:v>1794</x:v>
      </x:c>
      <x:c r="G140" s="5" t="str">
        <x:v>published_list_price</x:v>
      </x:c>
    </x:row>
    <x:row r="141" ht="24" customHeight="1">
      <x:c r="A141" s="8" t="str">
        <x:v>vm-136</x:v>
      </x:c>
      <x:c r="B141" s="8" t="str">
        <x:v>vm</x:v>
      </x:c>
      <x:c r="C141" s="8" t="str">
        <x:v>production</x:v>
      </x:c>
      <x:c r="D141" s="8" t="str">
        <x:v>Bangalore</x:v>
      </x:c>
      <x:c r="E141" s="8" t="str">
        <x:v>intel-cpu-1</x:v>
      </x:c>
      <x:c r="F141" s="12" t="n">
        <x:v>2203</x:v>
      </x:c>
      <x:c r="G141" s="8" t="str">
        <x:v>published_list_price</x:v>
      </x:c>
    </x:row>
    <x:row r="142" ht="24" customHeight="1">
      <x:c r="A142" s="5" t="str">
        <x:v>vm-137</x:v>
      </x:c>
      <x:c r="B142" s="5" t="str">
        <x:v>vm</x:v>
      </x:c>
      <x:c r="C142" s="5" t="str">
        <x:v>development</x:v>
      </x:c>
      <x:c r="D142" s="5" t="str">
        <x:v>Mumbai</x:v>
      </x:c>
      <x:c r="E142" s="5" t="str">
        <x:v>amd-basic-6</x:v>
      </x:c>
      <x:c r="F142" s="11" t="n">
        <x:v>3978</x:v>
      </x:c>
      <x:c r="G142" s="5" t="str">
        <x:v>published_list_price</x:v>
      </x:c>
    </x:row>
    <x:row r="143" ht="24" customHeight="1">
      <x:c r="A143" s="8" t="str">
        <x:v>vm-138</x:v>
      </x:c>
      <x:c r="B143" s="8" t="str">
        <x:v>vm</x:v>
      </x:c>
      <x:c r="C143" s="8" t="str">
        <x:v>development</x:v>
      </x:c>
      <x:c r="D143" s="8" t="str">
        <x:v>Bangalore</x:v>
      </x:c>
      <x:c r="E143" s="8" t="str">
        <x:v>intel-basic-1</x:v>
      </x:c>
      <x:c r="F143" s="12" t="n">
        <x:v>1435</x:v>
      </x:c>
      <x:c r="G143" s="8" t="str">
        <x:v>published_list_price</x:v>
      </x:c>
    </x:row>
    <x:row r="144" ht="24" customHeight="1">
      <x:c r="A144" s="5" t="str">
        <x:v>vm-139</x:v>
      </x:c>
      <x:c r="B144" s="5" t="str">
        <x:v>vm</x:v>
      </x:c>
      <x:c r="C144" s="5" t="str">
        <x:v>development</x:v>
      </x:c>
      <x:c r="D144" s="5" t="str">
        <x:v>Mumbai</x:v>
      </x:c>
      <x:c r="E144" s="5" t="str">
        <x:v>intel-memory-2</x:v>
      </x:c>
      <x:c r="F144" s="11" t="n">
        <x:v>2736</x:v>
      </x:c>
      <x:c r="G144" s="5" t="str">
        <x:v>published_list_price</x:v>
      </x:c>
    </x:row>
    <x:row r="145" ht="24" customHeight="1">
      <x:c r="A145" s="8" t="str">
        <x:v>vm-140</x:v>
      </x:c>
      <x:c r="B145" s="8" t="str">
        <x:v>vm</x:v>
      </x:c>
      <x:c r="C145" s="8" t="str">
        <x:v>production</x:v>
      </x:c>
      <x:c r="D145" s="8" t="str">
        <x:v>Noida</x:v>
      </x:c>
      <x:c r="E145" s="8" t="str">
        <x:v>amd-basic-10</x:v>
      </x:c>
      <x:c r="F145" s="12" t="n">
        <x:v>25962</x:v>
      </x:c>
      <x:c r="G145" s="8" t="str">
        <x:v>published_list_price</x:v>
      </x:c>
    </x:row>
    <x:row r="146" ht="24" customHeight="1">
      <x:c r="A146" s="5" t="str">
        <x:v>vm-141</x:v>
      </x:c>
      <x:c r="B146" s="5" t="str">
        <x:v>vm</x:v>
      </x:c>
      <x:c r="C146" s="5" t="str">
        <x:v>staging</x:v>
      </x:c>
      <x:c r="D146" s="5" t="str">
        <x:v>Bangalore</x:v>
      </x:c>
      <x:c r="E146" s="5" t="str">
        <x:v>amd-basic-3</x:v>
      </x:c>
      <x:c r="F146" s="11" t="n">
        <x:v>2034</x:v>
      </x:c>
      <x:c r="G146" s="5" t="str">
        <x:v>published_list_price</x:v>
      </x:c>
    </x:row>
    <x:row r="147" ht="24" customHeight="1">
      <x:c r="A147" s="8" t="str">
        <x:v>vm-142</x:v>
      </x:c>
      <x:c r="B147" s="8" t="str">
        <x:v>vm</x:v>
      </x:c>
      <x:c r="C147" s="8" t="str">
        <x:v>production</x:v>
      </x:c>
      <x:c r="D147" s="8" t="str">
        <x:v>Noida</x:v>
      </x:c>
      <x:c r="E147" s="8" t="str">
        <x:v>intel-memory-2</x:v>
      </x:c>
      <x:c r="F147" s="12" t="n">
        <x:v>2736</x:v>
      </x:c>
      <x:c r="G147" s="8" t="str">
        <x:v>published_list_price</x:v>
      </x:c>
    </x:row>
    <x:row r="148" ht="24" customHeight="1">
      <x:c r="A148" s="5" t="str">
        <x:v>vm-143</x:v>
      </x:c>
      <x:c r="B148" s="5" t="str">
        <x:v>vm</x:v>
      </x:c>
      <x:c r="C148" s="5" t="str">
        <x:v>production</x:v>
      </x:c>
      <x:c r="D148" s="5" t="str">
        <x:v>Noida</x:v>
      </x:c>
      <x:c r="E148" s="5" t="str">
        <x:v>intel-basic-4</x:v>
      </x:c>
      <x:c r="F148" s="11" t="n">
        <x:v>7195</x:v>
      </x:c>
      <x:c r="G148" s="5" t="str">
        <x:v>published_list_price</x:v>
      </x:c>
    </x:row>
    <x:row r="149" ht="24" customHeight="1">
      <x:c r="A149" s="8" t="str">
        <x:v>vm-144</x:v>
      </x:c>
      <x:c r="B149" s="8" t="str">
        <x:v>vm</x:v>
      </x:c>
      <x:c r="C149" s="8" t="str">
        <x:v>development</x:v>
      </x:c>
      <x:c r="D149" s="8" t="str">
        <x:v>Noida</x:v>
      </x:c>
      <x:c r="E149" s="8" t="str">
        <x:v>intel-basic-2</x:v>
      </x:c>
      <x:c r="F149" s="12" t="n">
        <x:v>2875</x:v>
      </x:c>
      <x:c r="G149" s="8" t="str">
        <x:v>published_list_price</x:v>
      </x:c>
    </x:row>
    <x:row r="150" ht="24" customHeight="1">
      <x:c r="A150" s="5" t="str">
        <x:v>vm-145</x:v>
      </x:c>
      <x:c r="B150" s="5" t="str">
        <x:v>vm</x:v>
      </x:c>
      <x:c r="C150" s="5" t="str">
        <x:v>development</x:v>
      </x:c>
      <x:c r="D150" s="5" t="str">
        <x:v>Noida</x:v>
      </x:c>
      <x:c r="E150" s="5" t="str">
        <x:v>amd-cpu-9</x:v>
      </x:c>
      <x:c r="F150" s="11" t="n">
        <x:v>13290</x:v>
      </x:c>
      <x:c r="G150" s="5" t="str">
        <x:v>published_list_price</x:v>
      </x:c>
    </x:row>
    <x:row r="151" ht="24" customHeight="1">
      <x:c r="A151" s="8" t="str">
        <x:v>vm-146</x:v>
      </x:c>
      <x:c r="B151" s="8" t="str">
        <x:v>vm</x:v>
      </x:c>
      <x:c r="C151" s="8" t="str">
        <x:v>production</x:v>
      </x:c>
      <x:c r="D151" s="8" t="str">
        <x:v>Mumbai</x:v>
      </x:c>
      <x:c r="E151" s="8" t="str">
        <x:v>amd-basic-7</x:v>
      </x:c>
      <x:c r="F151" s="12" t="n">
        <x:v>6474</x:v>
      </x:c>
      <x:c r="G151" s="8" t="str">
        <x:v>published_list_price</x:v>
      </x:c>
    </x:row>
    <x:row r="152" ht="24" customHeight="1">
      <x:c r="A152" s="5" t="str">
        <x:v>vm-147</x:v>
      </x:c>
      <x:c r="B152" s="5" t="str">
        <x:v>vm</x:v>
      </x:c>
      <x:c r="C152" s="5" t="str">
        <x:v>staging</x:v>
      </x:c>
      <x:c r="D152" s="5" t="str">
        <x:v>Mumbai</x:v>
      </x:c>
      <x:c r="E152" s="5" t="str">
        <x:v>intel-cpu-1</x:v>
      </x:c>
      <x:c r="F152" s="11" t="n">
        <x:v>2203</x:v>
      </x:c>
      <x:c r="G152" s="5" t="str">
        <x:v>published_list_price</x:v>
      </x:c>
    </x:row>
    <x:row r="153" ht="24" customHeight="1">
      <x:c r="A153" s="8" t="str">
        <x:v>vm-148</x:v>
      </x:c>
      <x:c r="B153" s="8" t="str">
        <x:v>vm</x:v>
      </x:c>
      <x:c r="C153" s="8" t="str">
        <x:v>production</x:v>
      </x:c>
      <x:c r="D153" s="8" t="str">
        <x:v>Noida</x:v>
      </x:c>
      <x:c r="E153" s="8" t="str">
        <x:v>amd-basic-1</x:v>
      </x:c>
      <x:c r="F153" s="12" t="n">
        <x:v>1194</x:v>
      </x:c>
      <x:c r="G153" s="8" t="str">
        <x:v>published_list_price</x:v>
      </x:c>
    </x:row>
    <x:row r="154" ht="24" customHeight="1">
      <x:c r="A154" s="5" t="str">
        <x:v>vm-149</x:v>
      </x:c>
      <x:c r="B154" s="5" t="str">
        <x:v>vm</x:v>
      </x:c>
      <x:c r="C154" s="5" t="str">
        <x:v>development</x:v>
      </x:c>
      <x:c r="D154" s="5" t="str">
        <x:v>Noida</x:v>
      </x:c>
      <x:c r="E154" s="5" t="str">
        <x:v>amd-cpu-10</x:v>
      </x:c>
      <x:c r="F154" s="11" t="n">
        <x:v>18926</x:v>
      </x:c>
      <x:c r="G154" s="5" t="str">
        <x:v>published_list_price</x:v>
      </x:c>
    </x:row>
    <x:row r="155" ht="24" customHeight="1">
      <x:c r="A155" s="8" t="str">
        <x:v>vm-150</x:v>
      </x:c>
      <x:c r="B155" s="8" t="str">
        <x:v>vm</x:v>
      </x:c>
      <x:c r="C155" s="8" t="str">
        <x:v>staging</x:v>
      </x:c>
      <x:c r="D155" s="8" t="str">
        <x:v>Mumbai</x:v>
      </x:c>
      <x:c r="E155" s="8" t="str">
        <x:v>intel-memory-3</x:v>
      </x:c>
      <x:c r="F155" s="12" t="n">
        <x:v>5472</x:v>
      </x:c>
      <x:c r="G155" s="8" t="str">
        <x:v>published_list_price</x:v>
      </x:c>
    </x:row>
    <x:row r="156" ht="24" customHeight="1">
      <x:c r="A156" s="5" t="str">
        <x:v>vol-001</x:v>
      </x:c>
      <x:c r="B156" s="5" t="str">
        <x:v>block_volume</x:v>
      </x:c>
      <x:c r="C156" s="5" t="str">
        <x:v>development</x:v>
      </x:c>
      <x:c r="D156" s="5" t="str">
        <x:v>Bangalore</x:v>
      </x:c>
      <x:c r="E156" s="5" t="str"/>
      <x:c r="F156" s="11" t="n">
        <x:v>200</x:v>
      </x:c>
      <x:c r="G156" s="5" t="str">
        <x:v>published_unit_rate</x:v>
      </x:c>
    </x:row>
    <x:row r="157" ht="24" customHeight="1">
      <x:c r="A157" s="8" t="str">
        <x:v>vol-002</x:v>
      </x:c>
      <x:c r="B157" s="8" t="str">
        <x:v>block_volume</x:v>
      </x:c>
      <x:c r="C157" s="8" t="str">
        <x:v>development</x:v>
      </x:c>
      <x:c r="D157" s="8" t="str">
        <x:v>Mumbai</x:v>
      </x:c>
      <x:c r="E157" s="8" t="str"/>
      <x:c r="F157" s="12" t="n">
        <x:v>400</x:v>
      </x:c>
      <x:c r="G157" s="8" t="str">
        <x:v>published_unit_rate</x:v>
      </x:c>
    </x:row>
    <x:row r="158" ht="24" customHeight="1">
      <x:c r="A158" s="5" t="str">
        <x:v>vol-003</x:v>
      </x:c>
      <x:c r="B158" s="5" t="str">
        <x:v>block_volume</x:v>
      </x:c>
      <x:c r="C158" s="5" t="str">
        <x:v>production</x:v>
      </x:c>
      <x:c r="D158" s="5" t="str">
        <x:v>Bangalore</x:v>
      </x:c>
      <x:c r="E158" s="5" t="str"/>
      <x:c r="F158" s="11" t="n">
        <x:v>400</x:v>
      </x:c>
      <x:c r="G158" s="5" t="str">
        <x:v>published_unit_rate</x:v>
      </x:c>
    </x:row>
    <x:row r="159" ht="24" customHeight="1">
      <x:c r="A159" s="8" t="str">
        <x:v>vol-004</x:v>
      </x:c>
      <x:c r="B159" s="8" t="str">
        <x:v>block_volume</x:v>
      </x:c>
      <x:c r="C159" s="8" t="str">
        <x:v>staging</x:v>
      </x:c>
      <x:c r="D159" s="8" t="str">
        <x:v>Bangalore</x:v>
      </x:c>
      <x:c r="E159" s="8" t="str"/>
      <x:c r="F159" s="12" t="n">
        <x:v>800</x:v>
      </x:c>
      <x:c r="G159" s="8" t="str">
        <x:v>published_unit_rate</x:v>
      </x:c>
    </x:row>
    <x:row r="160" ht="24" customHeight="1">
      <x:c r="A160" s="5" t="str">
        <x:v>vol-005</x:v>
      </x:c>
      <x:c r="B160" s="5" t="str">
        <x:v>block_volume</x:v>
      </x:c>
      <x:c r="C160" s="5" t="str">
        <x:v>production</x:v>
      </x:c>
      <x:c r="D160" s="5" t="str">
        <x:v>Bangalore</x:v>
      </x:c>
      <x:c r="E160" s="5" t="str"/>
      <x:c r="F160" s="11" t="n">
        <x:v>800</x:v>
      </x:c>
      <x:c r="G160" s="5" t="str">
        <x:v>published_unit_rate</x:v>
      </x:c>
    </x:row>
    <x:row r="161" ht="24" customHeight="1">
      <x:c r="A161" s="8" t="str">
        <x:v>vol-006</x:v>
      </x:c>
      <x:c r="B161" s="8" t="str">
        <x:v>block_volume</x:v>
      </x:c>
      <x:c r="C161" s="8" t="str">
        <x:v>development</x:v>
      </x:c>
      <x:c r="D161" s="8" t="str">
        <x:v>Mumbai</x:v>
      </x:c>
      <x:c r="E161" s="8" t="str"/>
      <x:c r="F161" s="12" t="n">
        <x:v>1000</x:v>
      </x:c>
      <x:c r="G161" s="8" t="str">
        <x:v>published_unit_rate</x:v>
      </x:c>
    </x:row>
    <x:row r="162" ht="24" customHeight="1">
      <x:c r="A162" s="5" t="str">
        <x:v>vol-007</x:v>
      </x:c>
      <x:c r="B162" s="5" t="str">
        <x:v>block_volume</x:v>
      </x:c>
      <x:c r="C162" s="5" t="str">
        <x:v>staging</x:v>
      </x:c>
      <x:c r="D162" s="5" t="str">
        <x:v>Bangalore</x:v>
      </x:c>
      <x:c r="E162" s="5" t="str"/>
      <x:c r="F162" s="11" t="n">
        <x:v>1200</x:v>
      </x:c>
      <x:c r="G162" s="5" t="str">
        <x:v>published_unit_rate</x:v>
      </x:c>
    </x:row>
    <x:row r="163" ht="24" customHeight="1">
      <x:c r="A163" s="8" t="str">
        <x:v>vol-008</x:v>
      </x:c>
      <x:c r="B163" s="8" t="str">
        <x:v>block_volume</x:v>
      </x:c>
      <x:c r="C163" s="8" t="str">
        <x:v>staging</x:v>
      </x:c>
      <x:c r="D163" s="8" t="str">
        <x:v>Noida</x:v>
      </x:c>
      <x:c r="E163" s="8" t="str"/>
      <x:c r="F163" s="12" t="n">
        <x:v>1600</x:v>
      </x:c>
      <x:c r="G163" s="8" t="str">
        <x:v>published_unit_rate</x:v>
      </x:c>
    </x:row>
    <x:row r="164" ht="24" customHeight="1">
      <x:c r="A164" s="5" t="str">
        <x:v>vol-009</x:v>
      </x:c>
      <x:c r="B164" s="5" t="str">
        <x:v>block_volume</x:v>
      </x:c>
      <x:c r="C164" s="5" t="str">
        <x:v>development</x:v>
      </x:c>
      <x:c r="D164" s="5" t="str">
        <x:v>Bangalore</x:v>
      </x:c>
      <x:c r="E164" s="5" t="str"/>
      <x:c r="F164" s="11" t="n">
        <x:v>2000</x:v>
      </x:c>
      <x:c r="G164" s="5" t="str">
        <x:v>published_unit_rate</x:v>
      </x:c>
    </x:row>
    <x:row r="165" ht="24" customHeight="1">
      <x:c r="A165" s="8" t="str">
        <x:v>vol-010</x:v>
      </x:c>
      <x:c r="B165" s="8" t="str">
        <x:v>block_volume</x:v>
      </x:c>
      <x:c r="C165" s="8" t="str">
        <x:v>staging</x:v>
      </x:c>
      <x:c r="D165" s="8" t="str">
        <x:v>Noida</x:v>
      </x:c>
      <x:c r="E165" s="8" t="str"/>
      <x:c r="F165" s="12" t="n">
        <x:v>2000</x:v>
      </x:c>
      <x:c r="G165" s="8" t="str">
        <x:v>published_unit_rate</x:v>
      </x:c>
    </x:row>
    <x:row r="166" ht="24" customHeight="1">
      <x:c r="A166" s="5" t="str">
        <x:v>vol-011</x:v>
      </x:c>
      <x:c r="B166" s="5" t="str">
        <x:v>block_volume</x:v>
      </x:c>
      <x:c r="C166" s="5" t="str">
        <x:v>development</x:v>
      </x:c>
      <x:c r="D166" s="5" t="str">
        <x:v>Bangalore</x:v>
      </x:c>
      <x:c r="E166" s="5" t="str"/>
      <x:c r="F166" s="11" t="n">
        <x:v>3000</x:v>
      </x:c>
      <x:c r="G166" s="5" t="str">
        <x:v>published_unit_rate</x:v>
      </x:c>
    </x:row>
    <x:row r="167" ht="24" customHeight="1">
      <x:c r="A167" s="8" t="str">
        <x:v>vol-012</x:v>
      </x:c>
      <x:c r="B167" s="8" t="str">
        <x:v>block_volume</x:v>
      </x:c>
      <x:c r="C167" s="8" t="str">
        <x:v>staging</x:v>
      </x:c>
      <x:c r="D167" s="8" t="str">
        <x:v>Noida</x:v>
      </x:c>
      <x:c r="E167" s="8" t="str"/>
      <x:c r="F167" s="12" t="n">
        <x:v>4000</x:v>
      </x:c>
      <x:c r="G167" s="8" t="str">
        <x:v>published_unit_rate</x:v>
      </x:c>
    </x:row>
    <x:row r="168" ht="24" customHeight="1">
      <x:c r="A168" s="5" t="str">
        <x:v>vol-013</x:v>
      </x:c>
      <x:c r="B168" s="5" t="str">
        <x:v>block_volume</x:v>
      </x:c>
      <x:c r="C168" s="5" t="str">
        <x:v>staging</x:v>
      </x:c>
      <x:c r="D168" s="5" t="str">
        <x:v>Mumbai</x:v>
      </x:c>
      <x:c r="E168" s="5" t="str"/>
      <x:c r="F168" s="11" t="n">
        <x:v>200</x:v>
      </x:c>
      <x:c r="G168" s="5" t="str">
        <x:v>published_unit_rate</x:v>
      </x:c>
    </x:row>
    <x:row r="169" ht="24" customHeight="1">
      <x:c r="A169" s="8" t="str">
        <x:v>vol-014</x:v>
      </x:c>
      <x:c r="B169" s="8" t="str">
        <x:v>block_volume</x:v>
      </x:c>
      <x:c r="C169" s="8" t="str">
        <x:v>staging</x:v>
      </x:c>
      <x:c r="D169" s="8" t="str">
        <x:v>Mumbai</x:v>
      </x:c>
      <x:c r="E169" s="8" t="str"/>
      <x:c r="F169" s="12" t="n">
        <x:v>400</x:v>
      </x:c>
      <x:c r="G169" s="8" t="str">
        <x:v>published_unit_rate</x:v>
      </x:c>
    </x:row>
    <x:row r="170" ht="24" customHeight="1">
      <x:c r="A170" s="5" t="str">
        <x:v>vol-015</x:v>
      </x:c>
      <x:c r="B170" s="5" t="str">
        <x:v>block_volume</x:v>
      </x:c>
      <x:c r="C170" s="5" t="str">
        <x:v>staging</x:v>
      </x:c>
      <x:c r="D170" s="5" t="str">
        <x:v>Noida</x:v>
      </x:c>
      <x:c r="E170" s="5" t="str"/>
      <x:c r="F170" s="11" t="n">
        <x:v>400</x:v>
      </x:c>
      <x:c r="G170" s="5" t="str">
        <x:v>published_unit_rate</x:v>
      </x:c>
    </x:row>
    <x:row r="171" ht="24" customHeight="1">
      <x:c r="A171" s="8" t="str">
        <x:v>vol-016</x:v>
      </x:c>
      <x:c r="B171" s="8" t="str">
        <x:v>block_volume</x:v>
      </x:c>
      <x:c r="C171" s="8" t="str">
        <x:v>development</x:v>
      </x:c>
      <x:c r="D171" s="8" t="str">
        <x:v>Mumbai</x:v>
      </x:c>
      <x:c r="E171" s="8" t="str"/>
      <x:c r="F171" s="12" t="n">
        <x:v>800</x:v>
      </x:c>
      <x:c r="G171" s="8" t="str">
        <x:v>published_unit_rate</x:v>
      </x:c>
    </x:row>
    <x:row r="172" ht="24" customHeight="1">
      <x:c r="A172" s="5" t="str">
        <x:v>vol-017</x:v>
      </x:c>
      <x:c r="B172" s="5" t="str">
        <x:v>block_volume</x:v>
      </x:c>
      <x:c r="C172" s="5" t="str">
        <x:v>staging</x:v>
      </x:c>
      <x:c r="D172" s="5" t="str">
        <x:v>Mumbai</x:v>
      </x:c>
      <x:c r="E172" s="5" t="str"/>
      <x:c r="F172" s="11" t="n">
        <x:v>800</x:v>
      </x:c>
      <x:c r="G172" s="5" t="str">
        <x:v>published_unit_rate</x:v>
      </x:c>
    </x:row>
    <x:row r="173" ht="24" customHeight="1">
      <x:c r="A173" s="8" t="str">
        <x:v>vol-018</x:v>
      </x:c>
      <x:c r="B173" s="8" t="str">
        <x:v>block_volume</x:v>
      </x:c>
      <x:c r="C173" s="8" t="str">
        <x:v>staging</x:v>
      </x:c>
      <x:c r="D173" s="8" t="str">
        <x:v>Bangalore</x:v>
      </x:c>
      <x:c r="E173" s="8" t="str"/>
      <x:c r="F173" s="12" t="n">
        <x:v>1000</x:v>
      </x:c>
      <x:c r="G173" s="8" t="str">
        <x:v>published_unit_rate</x:v>
      </x:c>
    </x:row>
    <x:row r="174" ht="24" customHeight="1">
      <x:c r="A174" s="5" t="str">
        <x:v>vol-019</x:v>
      </x:c>
      <x:c r="B174" s="5" t="str">
        <x:v>block_volume</x:v>
      </x:c>
      <x:c r="C174" s="5" t="str">
        <x:v>staging</x:v>
      </x:c>
      <x:c r="D174" s="5" t="str">
        <x:v>Noida</x:v>
      </x:c>
      <x:c r="E174" s="5" t="str"/>
      <x:c r="F174" s="11" t="n">
        <x:v>1200</x:v>
      </x:c>
      <x:c r="G174" s="5" t="str">
        <x:v>published_unit_rate</x:v>
      </x:c>
    </x:row>
    <x:row r="175" ht="24" customHeight="1">
      <x:c r="A175" s="8" t="str">
        <x:v>vol-020</x:v>
      </x:c>
      <x:c r="B175" s="8" t="str">
        <x:v>block_volume</x:v>
      </x:c>
      <x:c r="C175" s="8" t="str">
        <x:v>development</x:v>
      </x:c>
      <x:c r="D175" s="8" t="str">
        <x:v>Noida</x:v>
      </x:c>
      <x:c r="E175" s="8" t="str"/>
      <x:c r="F175" s="12" t="n">
        <x:v>1600</x:v>
      </x:c>
      <x:c r="G175" s="8" t="str">
        <x:v>published_unit_rate</x:v>
      </x:c>
    </x:row>
    <x:row r="176" ht="24" customHeight="1">
      <x:c r="A176" s="5" t="str">
        <x:v>ip-001</x:v>
      </x:c>
      <x:c r="B176" s="5" t="str">
        <x:v>public_ip</x:v>
      </x:c>
      <x:c r="C176" s="5" t="str">
        <x:v>production</x:v>
      </x:c>
      <x:c r="D176" s="5" t="str">
        <x:v>Mumbai</x:v>
      </x:c>
      <x:c r="E176" s="5" t="str"/>
      <x:c r="F176" s="11"/>
      <x:c r="G176" s="5" t="str">
        <x:v>unknown_price</x:v>
      </x:c>
    </x:row>
    <x:row r="177" ht="24" customHeight="1">
      <x:c r="A177" s="8" t="str">
        <x:v>ip-002</x:v>
      </x:c>
      <x:c r="B177" s="8" t="str">
        <x:v>public_ip</x:v>
      </x:c>
      <x:c r="C177" s="8" t="str">
        <x:v>development</x:v>
      </x:c>
      <x:c r="D177" s="8" t="str">
        <x:v>Noida</x:v>
      </x:c>
      <x:c r="E177" s="8" t="str"/>
      <x:c r="F177" s="12"/>
      <x:c r="G177" s="8" t="str">
        <x:v>unknown_price</x:v>
      </x:c>
    </x:row>
    <x:row r="178" ht="24" customHeight="1">
      <x:c r="A178" s="5" t="str">
        <x:v>ip-003</x:v>
      </x:c>
      <x:c r="B178" s="5" t="str">
        <x:v>public_ip</x:v>
      </x:c>
      <x:c r="C178" s="5" t="str">
        <x:v>production</x:v>
      </x:c>
      <x:c r="D178" s="5" t="str">
        <x:v>Mumbai</x:v>
      </x:c>
      <x:c r="E178" s="5" t="str"/>
      <x:c r="F178" s="11"/>
      <x:c r="G178" s="5" t="str">
        <x:v>unknown_price</x:v>
      </x:c>
    </x:row>
    <x:row r="179" ht="24" customHeight="1">
      <x:c r="A179" s="8" t="str">
        <x:v>ip-004</x:v>
      </x:c>
      <x:c r="B179" s="8" t="str">
        <x:v>public_ip</x:v>
      </x:c>
      <x:c r="C179" s="8" t="str">
        <x:v>development</x:v>
      </x:c>
      <x:c r="D179" s="8" t="str">
        <x:v>Bangalore</x:v>
      </x:c>
      <x:c r="E179" s="8" t="str"/>
      <x:c r="F179" s="12"/>
      <x:c r="G179" s="8" t="str">
        <x:v>unknown_price</x:v>
      </x:c>
    </x:row>
    <x:row r="180" ht="24" customHeight="1">
      <x:c r="A180" s="5" t="str">
        <x:v>ip-005</x:v>
      </x:c>
      <x:c r="B180" s="5" t="str">
        <x:v>public_ip</x:v>
      </x:c>
      <x:c r="C180" s="5" t="str">
        <x:v>staging</x:v>
      </x:c>
      <x:c r="D180" s="5" t="str">
        <x:v>Noida</x:v>
      </x:c>
      <x:c r="E180" s="5" t="str"/>
      <x:c r="F180" s="11"/>
      <x:c r="G180" s="5" t="str">
        <x:v>unknown_price</x:v>
      </x:c>
    </x:row>
    <x:row r="181" ht="24" customHeight="1">
      <x:c r="A181" s="8" t="str">
        <x:v>ip-006</x:v>
      </x:c>
      <x:c r="B181" s="8" t="str">
        <x:v>public_ip</x:v>
      </x:c>
      <x:c r="C181" s="8" t="str">
        <x:v>staging</x:v>
      </x:c>
      <x:c r="D181" s="8" t="str">
        <x:v>Noida</x:v>
      </x:c>
      <x:c r="E181" s="8" t="str"/>
      <x:c r="F181" s="12"/>
      <x:c r="G181" s="8" t="str">
        <x:v>unknown_price</x:v>
      </x:c>
    </x:row>
    <x:row r="182" ht="24" customHeight="1">
      <x:c r="A182" s="5" t="str">
        <x:v>ip-007</x:v>
      </x:c>
      <x:c r="B182" s="5" t="str">
        <x:v>public_ip</x:v>
      </x:c>
      <x:c r="C182" s="5" t="str">
        <x:v>development</x:v>
      </x:c>
      <x:c r="D182" s="5" t="str">
        <x:v>Mumbai</x:v>
      </x:c>
      <x:c r="E182" s="5" t="str"/>
      <x:c r="F182" s="11"/>
      <x:c r="G182" s="5" t="str">
        <x:v>unknown_price</x:v>
      </x:c>
    </x:row>
    <x:row r="183" ht="24" customHeight="1">
      <x:c r="A183" s="8" t="str">
        <x:v>ip-008</x:v>
      </x:c>
      <x:c r="B183" s="8" t="str">
        <x:v>public_ip</x:v>
      </x:c>
      <x:c r="C183" s="8" t="str">
        <x:v>production</x:v>
      </x:c>
      <x:c r="D183" s="8" t="str">
        <x:v>Noida</x:v>
      </x:c>
      <x:c r="E183" s="8" t="str"/>
      <x:c r="F183" s="12"/>
      <x:c r="G183" s="8" t="str">
        <x:v>unknown_price</x:v>
      </x:c>
    </x:row>
    <x:row r="184" ht="24" customHeight="1">
      <x:c r="A184" s="5" t="str">
        <x:v>ip-009</x:v>
      </x:c>
      <x:c r="B184" s="5" t="str">
        <x:v>public_ip</x:v>
      </x:c>
      <x:c r="C184" s="5" t="str">
        <x:v>development</x:v>
      </x:c>
      <x:c r="D184" s="5" t="str">
        <x:v>Bangalore</x:v>
      </x:c>
      <x:c r="E184" s="5" t="str"/>
      <x:c r="F184" s="11"/>
      <x:c r="G184" s="5" t="str">
        <x:v>unknown_price</x:v>
      </x:c>
    </x:row>
    <x:row r="185" ht="24" customHeight="1">
      <x:c r="A185" s="8" t="str">
        <x:v>ip-010</x:v>
      </x:c>
      <x:c r="B185" s="8" t="str">
        <x:v>public_ip</x:v>
      </x:c>
      <x:c r="C185" s="8" t="str">
        <x:v>production</x:v>
      </x:c>
      <x:c r="D185" s="8" t="str">
        <x:v>Bangalore</x:v>
      </x:c>
      <x:c r="E185" s="8" t="str"/>
      <x:c r="F185" s="12"/>
      <x:c r="G185" s="8" t="str">
        <x:v>unknown_price</x:v>
      </x:c>
    </x:row>
    <x:row r="186" ht="24" customHeight="1">
      <x:c r="A186" s="5" t="str">
        <x:v>ip-011</x:v>
      </x:c>
      <x:c r="B186" s="5" t="str">
        <x:v>public_ip</x:v>
      </x:c>
      <x:c r="C186" s="5" t="str">
        <x:v>staging</x:v>
      </x:c>
      <x:c r="D186" s="5" t="str">
        <x:v>Mumbai</x:v>
      </x:c>
      <x:c r="E186" s="5" t="str"/>
      <x:c r="F186" s="11"/>
      <x:c r="G186" s="5" t="str">
        <x:v>unknown_price</x:v>
      </x:c>
    </x:row>
    <x:row r="187" ht="24" customHeight="1">
      <x:c r="A187" s="8" t="str">
        <x:v>ip-012</x:v>
      </x:c>
      <x:c r="B187" s="8" t="str">
        <x:v>public_ip</x:v>
      </x:c>
      <x:c r="C187" s="8" t="str">
        <x:v>development</x:v>
      </x:c>
      <x:c r="D187" s="8" t="str">
        <x:v>Noida</x:v>
      </x:c>
      <x:c r="E187" s="8" t="str"/>
      <x:c r="F187" s="12"/>
      <x:c r="G187" s="8" t="str">
        <x:v>unknown_price</x:v>
      </x:c>
    </x:row>
    <x:row r="188" ht="24" customHeight="1">
      <x:c r="A188" s="5" t="str">
        <x:v>ip-013</x:v>
      </x:c>
      <x:c r="B188" s="5" t="str">
        <x:v>public_ip</x:v>
      </x:c>
      <x:c r="C188" s="5" t="str">
        <x:v>production</x:v>
      </x:c>
      <x:c r="D188" s="5" t="str">
        <x:v>Mumbai</x:v>
      </x:c>
      <x:c r="E188" s="5" t="str"/>
      <x:c r="F188" s="11"/>
      <x:c r="G188" s="5" t="str">
        <x:v>unknown_price</x:v>
      </x:c>
    </x:row>
    <x:row r="189" ht="24" customHeight="1">
      <x:c r="A189" s="8" t="str">
        <x:v>ip-014</x:v>
      </x:c>
      <x:c r="B189" s="8" t="str">
        <x:v>public_ip</x:v>
      </x:c>
      <x:c r="C189" s="8" t="str">
        <x:v>production</x:v>
      </x:c>
      <x:c r="D189" s="8" t="str">
        <x:v>Bangalore</x:v>
      </x:c>
      <x:c r="E189" s="8" t="str"/>
      <x:c r="F189" s="12"/>
      <x:c r="G189" s="8" t="str">
        <x:v>unknown_price</x:v>
      </x:c>
    </x:row>
    <x:row r="190" ht="24" customHeight="1">
      <x:c r="A190" s="5" t="str">
        <x:v>ip-015</x:v>
      </x:c>
      <x:c r="B190" s="5" t="str">
        <x:v>public_ip</x:v>
      </x:c>
      <x:c r="C190" s="5" t="str">
        <x:v>development</x:v>
      </x:c>
      <x:c r="D190" s="5" t="str">
        <x:v>Noida</x:v>
      </x:c>
      <x:c r="E190" s="5" t="str"/>
      <x:c r="F190" s="11"/>
      <x:c r="G190" s="5" t="str">
        <x:v>unknown_price</x:v>
      </x:c>
    </x:row>
    <x:row r="191" ht="24" customHeight="1">
      <x:c r="A191" s="8" t="str">
        <x:v>ip-016</x:v>
      </x:c>
      <x:c r="B191" s="8" t="str">
        <x:v>public_ip</x:v>
      </x:c>
      <x:c r="C191" s="8" t="str">
        <x:v>staging</x:v>
      </x:c>
      <x:c r="D191" s="8" t="str">
        <x:v>Mumbai</x:v>
      </x:c>
      <x:c r="E191" s="8" t="str"/>
      <x:c r="F191" s="12"/>
      <x:c r="G191" s="8" t="str">
        <x:v>unknown_price</x:v>
      </x:c>
    </x:row>
    <x:row r="192" ht="24" customHeight="1">
      <x:c r="A192" s="5" t="str">
        <x:v>ip-017</x:v>
      </x:c>
      <x:c r="B192" s="5" t="str">
        <x:v>public_ip</x:v>
      </x:c>
      <x:c r="C192" s="5" t="str">
        <x:v>staging</x:v>
      </x:c>
      <x:c r="D192" s="5" t="str">
        <x:v>Mumbai</x:v>
      </x:c>
      <x:c r="E192" s="5" t="str"/>
      <x:c r="F192" s="11"/>
      <x:c r="G192" s="5" t="str">
        <x:v>unknown_price</x:v>
      </x:c>
    </x:row>
    <x:row r="193" ht="24" customHeight="1">
      <x:c r="A193" s="8" t="str">
        <x:v>ip-018</x:v>
      </x:c>
      <x:c r="B193" s="8" t="str">
        <x:v>public_ip</x:v>
      </x:c>
      <x:c r="C193" s="8" t="str">
        <x:v>production</x:v>
      </x:c>
      <x:c r="D193" s="8" t="str">
        <x:v>Noida</x:v>
      </x:c>
      <x:c r="E193" s="8" t="str"/>
      <x:c r="F193" s="12"/>
      <x:c r="G193" s="8" t="str">
        <x:v>unknown_price</x:v>
      </x:c>
    </x:row>
    <x:row r="194" ht="24" customHeight="1">
      <x:c r="A194" s="5" t="str">
        <x:v>ip-019</x:v>
      </x:c>
      <x:c r="B194" s="5" t="str">
        <x:v>public_ip</x:v>
      </x:c>
      <x:c r="C194" s="5" t="str">
        <x:v>production</x:v>
      </x:c>
      <x:c r="D194" s="5" t="str">
        <x:v>Mumbai</x:v>
      </x:c>
      <x:c r="E194" s="5" t="str"/>
      <x:c r="F194" s="11"/>
      <x:c r="G194" s="5" t="str">
        <x:v>unknown_price</x:v>
      </x:c>
    </x:row>
    <x:row r="195" ht="24" customHeight="1">
      <x:c r="A195" s="8" t="str">
        <x:v>ip-020</x:v>
      </x:c>
      <x:c r="B195" s="8" t="str">
        <x:v>public_ip</x:v>
      </x:c>
      <x:c r="C195" s="8" t="str">
        <x:v>development</x:v>
      </x:c>
      <x:c r="D195" s="8" t="str">
        <x:v>Bangalore</x:v>
      </x:c>
      <x:c r="E195" s="8" t="str"/>
      <x:c r="F195" s="12"/>
      <x:c r="G195" s="8" t="str">
        <x:v>unknown_price</x:v>
      </x:c>
    </x:row>
    <x:row r="196" ht="24" customHeight="1">
      <x:c r="A196" s="5" t="str">
        <x:v>gpu-001</x:v>
      </x:c>
      <x:c r="B196" s="5" t="str">
        <x:v>gpu</x:v>
      </x:c>
      <x:c r="C196" s="5" t="str">
        <x:v>production</x:v>
      </x:c>
      <x:c r="D196" s="5" t="str">
        <x:v>Noida</x:v>
      </x:c>
      <x:c r="E196" s="5" t="str"/>
      <x:c r="F196" s="11"/>
      <x:c r="G196" s="5" t="str">
        <x:v>unknown_price</x:v>
      </x:c>
    </x:row>
    <x:row r="197" ht="24" customHeight="1">
      <x:c r="A197" s="8" t="str">
        <x:v>gpu-002</x:v>
      </x:c>
      <x:c r="B197" s="8" t="str">
        <x:v>gpu</x:v>
      </x:c>
      <x:c r="C197" s="8" t="str">
        <x:v>staging</x:v>
      </x:c>
      <x:c r="D197" s="8" t="str">
        <x:v>Mumbai</x:v>
      </x:c>
      <x:c r="E197" s="8" t="str"/>
      <x:c r="F197" s="12"/>
      <x:c r="G197" s="8" t="str">
        <x:v>unknown_price</x:v>
      </x:c>
    </x:row>
    <x:row r="198" ht="24" customHeight="1">
      <x:c r="A198" s="5" t="str">
        <x:v>gpu-003</x:v>
      </x:c>
      <x:c r="B198" s="5" t="str">
        <x:v>gpu</x:v>
      </x:c>
      <x:c r="C198" s="5" t="str">
        <x:v>staging</x:v>
      </x:c>
      <x:c r="D198" s="5" t="str">
        <x:v>Noida</x:v>
      </x:c>
      <x:c r="E198" s="5" t="str"/>
      <x:c r="F198" s="11"/>
      <x:c r="G198" s="5" t="str">
        <x:v>unknown_price</x:v>
      </x:c>
    </x:row>
    <x:row r="199" ht="24" customHeight="1">
      <x:c r="A199" s="8" t="str">
        <x:v>gpu-004</x:v>
      </x:c>
      <x:c r="B199" s="8" t="str">
        <x:v>gpu</x:v>
      </x:c>
      <x:c r="C199" s="8" t="str">
        <x:v>staging</x:v>
      </x:c>
      <x:c r="D199" s="8" t="str">
        <x:v>Mumbai</x:v>
      </x:c>
      <x:c r="E199" s="8" t="str"/>
      <x:c r="F199" s="12"/>
      <x:c r="G199" s="8" t="str">
        <x:v>unknown_price</x:v>
      </x:c>
    </x:row>
    <x:row r="200" ht="24" customHeight="1">
      <x:c r="A200" s="5" t="str">
        <x:v>gpu-005</x:v>
      </x:c>
      <x:c r="B200" s="5" t="str">
        <x:v>gpu</x:v>
      </x:c>
      <x:c r="C200" s="5" t="str">
        <x:v>development</x:v>
      </x:c>
      <x:c r="D200" s="5" t="str">
        <x:v>Bangalore</x:v>
      </x:c>
      <x:c r="E200" s="5" t="str"/>
      <x:c r="F200" s="11"/>
      <x:c r="G200" s="5" t="str">
        <x:v>unknown_price</x:v>
      </x:c>
    </x:row>
    <x:row r="201" ht="24" customHeight="1">
      <x:c r="A201" s="8" t="str">
        <x:v>gpu-006</x:v>
      </x:c>
      <x:c r="B201" s="8" t="str">
        <x:v>gpu</x:v>
      </x:c>
      <x:c r="C201" s="8" t="str">
        <x:v>production</x:v>
      </x:c>
      <x:c r="D201" s="8" t="str">
        <x:v>Mumbai</x:v>
      </x:c>
      <x:c r="E201" s="8" t="str"/>
      <x:c r="F201" s="12"/>
      <x:c r="G201" s="8" t="str">
        <x:v>unknown_price</x:v>
      </x:c>
    </x:row>
    <x:row r="202" ht="24" customHeight="1">
      <x:c r="A202" s="5" t="str">
        <x:v>gpu-007</x:v>
      </x:c>
      <x:c r="B202" s="5" t="str">
        <x:v>gpu</x:v>
      </x:c>
      <x:c r="C202" s="5" t="str">
        <x:v>production</x:v>
      </x:c>
      <x:c r="D202" s="5" t="str">
        <x:v>Noida</x:v>
      </x:c>
      <x:c r="E202" s="5" t="str"/>
      <x:c r="F202" s="11"/>
      <x:c r="G202" s="5" t="str">
        <x:v>unknown_price</x:v>
      </x:c>
    </x:row>
    <x:row r="203" ht="24" customHeight="1">
      <x:c r="A203" s="8" t="str">
        <x:v>gpu-008</x:v>
      </x:c>
      <x:c r="B203" s="8" t="str">
        <x:v>gpu</x:v>
      </x:c>
      <x:c r="C203" s="8" t="str">
        <x:v>staging</x:v>
      </x:c>
      <x:c r="D203" s="8" t="str">
        <x:v>Noida</x:v>
      </x:c>
      <x:c r="E203" s="8" t="str"/>
      <x:c r="F203" s="12"/>
      <x:c r="G203" s="8" t="str">
        <x:v>unknown_price</x:v>
      </x:c>
    </x:row>
    <x:row r="204" ht="24" customHeight="1">
      <x:c r="A204" s="5" t="str">
        <x:v>gpu-009</x:v>
      </x:c>
      <x:c r="B204" s="5" t="str">
        <x:v>gpu</x:v>
      </x:c>
      <x:c r="C204" s="5" t="str">
        <x:v>production</x:v>
      </x:c>
      <x:c r="D204" s="5" t="str">
        <x:v>Mumbai</x:v>
      </x:c>
      <x:c r="E204" s="5" t="str"/>
      <x:c r="F204" s="11"/>
      <x:c r="G204" s="5" t="str">
        <x:v>unknown_price</x:v>
      </x:c>
    </x:row>
    <x:row r="205" ht="24" customHeight="1">
      <x:c r="A205" s="8" t="str">
        <x:v>gpu-010</x:v>
      </x:c>
      <x:c r="B205" s="8" t="str">
        <x:v>gpu</x:v>
      </x:c>
      <x:c r="C205" s="8" t="str">
        <x:v>development</x:v>
      </x:c>
      <x:c r="D205" s="8" t="str">
        <x:v>Bangalore</x:v>
      </x:c>
      <x:c r="E205" s="8" t="str"/>
      <x:c r="F205" s="12"/>
      <x:c r="G205" s="8" t="str">
        <x:v>unknown_price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105" hidden="0" customWidth="1"/>
  </x:cols>
  <x:sheetData>
    <x:row r="2">
      <x:c r="A2" s="1" t="str">
        <x:v>Delivered source file fingerprints</x:v>
      </x:c>
    </x:row>
    <x:row r="3">
      <x:c r="A3" s="2" t="str">
        <x:v>SHA-256 calculated directly from delivered files on 25 October 2026. Original files remain unchanged.</x:v>
      </x:c>
    </x:row>
    <x:row r="5" ht="32" customHeight="1">
      <x:c r="A5" s="7" t="str">
        <x:v>File</x:v>
      </x:c>
      <x:c r="B5" s="7" t="str">
        <x:v>SHA-256</x:v>
      </x:c>
    </x:row>
    <x:row r="6" ht="30" customHeight="1">
      <x:c r="A6" s="5" t="str">
        <x:v>assumptions.json</x:v>
      </x:c>
      <x:c r="B6" s="5" t="str">
        <x:v>eaa42c997aae77b4b224a100a27013c5ca3d6787e4f4bb2200ba949629e0c3b5</x:v>
      </x:c>
    </x:row>
    <x:row r="7" ht="30" customHeight="1">
      <x:c r="A7" s="8" t="str">
        <x:v>billing_history.csv</x:v>
      </x:c>
      <x:c r="B7" s="8" t="str">
        <x:v>9bc030c9791ad810c4c26435813126c53a72c3483cfdc58b3f209c2d03fed639</x:v>
      </x:c>
    </x:row>
    <x:row r="8" ht="30" customHeight="1">
      <x:c r="A8" s="5" t="str">
        <x:v>data_quality_summary.json</x:v>
      </x:c>
      <x:c r="B8" s="5" t="str">
        <x:v>4ce381091820dc893602074386581d67f916c25494a85be86615907e4ae7cd27</x:v>
      </x:c>
    </x:row>
    <x:row r="9" ht="30" customHeight="1">
      <x:c r="A9" s="8" t="str">
        <x:v>events.csv</x:v>
      </x:c>
      <x:c r="B9" s="8" t="str">
        <x:v>a17e9bf05578eca22055d70131452cc9f6f266b9d9c142644719af17ecd08aa1</x:v>
      </x:c>
    </x:row>
    <x:row r="10" ht="30" customHeight="1">
      <x:c r="A10" s="5" t="str">
        <x:v>gpu_metrics.csv</x:v>
      </x:c>
      <x:c r="B10" s="5" t="str">
        <x:v>161ff4f0809e3d8ef9189a1d34ddb42ee42488e6b8f2be5beb1a2a3d93585a70</x:v>
      </x:c>
    </x:row>
    <x:row r="11" ht="30" customHeight="1">
      <x:c r="A11" s="8" t="str">
        <x:v>metrics.csv</x:v>
      </x:c>
      <x:c r="B11" s="8" t="str">
        <x:v>898934d9f093e72d070f3283d781cf85d623a774a7d49d37f3d6d3287242b240</x:v>
      </x:c>
    </x:row>
    <x:row r="12" ht="30" customHeight="1">
      <x:c r="A12" s="5" t="str">
        <x:v>pricing.csv</x:v>
      </x:c>
      <x:c r="B12" s="5" t="str">
        <x:v>f79df3765582e037b60e006c247421f26d3ccdbfa0f4671b01d3e238c00b861f</x:v>
      </x:c>
    </x:row>
    <x:row r="13" ht="30" customHeight="1">
      <x:c r="A13" s="8" t="str">
        <x:v>pricing_catalog.csv</x:v>
      </x:c>
      <x:c r="B13" s="8" t="str">
        <x:v>1ad3e70f2391239702d8969e0273590764810833f8086884d58313bdbda65653</x:v>
      </x:c>
    </x:row>
    <x:row r="14" ht="30" customHeight="1">
      <x:c r="A14" s="5" t="str">
        <x:v>resource_relationships.csv</x:v>
      </x:c>
      <x:c r="B14" s="5" t="str">
        <x:v>d5a2c2be6af0fdd3bfc20ccc59ccd83cb32cbccaa431a0bba9c3ccd2f2f7cb16</x:v>
      </x:c>
    </x:row>
    <x:row r="15" ht="30" customHeight="1">
      <x:c r="A15" s="8" t="str">
        <x:v>resources.csv</x:v>
      </x:c>
      <x:c r="B15" s="8" t="str">
        <x:v>3af126af8523d4212c4e519e78e882e14a9eb6f84ae4cb633a96b6caeccce3b2</x:v>
      </x:c>
    </x:row>
  </x:sheetData>
  <x:pageMargins left="0.7" right="0.7" top="0.75" bottom="0.75" header="0.3" footer="0.3"/>
</x:worksheet>
</file>